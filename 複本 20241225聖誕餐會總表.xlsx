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admin\OneDrive\文件\"/>
    </mc:Choice>
  </mc:AlternateContent>
  <xr:revisionPtr revIDLastSave="0" documentId="13_ncr:1_{0FAC1E73-25F8-4BEF-A6A0-F782B4AC838F}" xr6:coauthVersionLast="47" xr6:coauthVersionMax="47" xr10:uidLastSave="{00000000-0000-0000-0000-000000000000}"/>
  <bookViews>
    <workbookView xWindow="-120" yWindow="-120" windowWidth="29040" windowHeight="16440" tabRatio="841" xr2:uid="{00000000-000D-0000-FFFF-FFFF00000000}"/>
  </bookViews>
  <sheets>
    <sheet name="工作人員分配(舊)" sheetId="14" r:id="rId1"/>
    <sheet name="流程表" sheetId="11" r:id="rId2"/>
    <sheet name="主持人講稿(已更新)" sheetId="15" r:id="rId3"/>
    <sheet name="小遊戲(已去除)" sheetId="16" r:id="rId4"/>
    <sheet name="預算明細表(20251104美如提供)" sheetId="8" r:id="rId5"/>
    <sheet name="活動場地layout" sheetId="2" r:id="rId6"/>
    <sheet name="分工表" sheetId="3" r:id="rId7"/>
    <sheet name="Buffet菜單" sheetId="5" r:id="rId8"/>
    <sheet name="1125會議紀錄" sheetId="12" r:id="rId9"/>
  </sheets>
  <definedNames>
    <definedName name="_xlnm.Print_Titles" localSheetId="2">'主持人講稿(已更新)'!$1:$3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 i="8" l="1"/>
</calcChain>
</file>

<file path=xl/sharedStrings.xml><?xml version="1.0" encoding="utf-8"?>
<sst xmlns="http://schemas.openxmlformats.org/spreadsheetml/2006/main" count="394" uniqueCount="308">
  <si>
    <t>活動內容</t>
  </si>
  <si>
    <t>細節</t>
    <phoneticPr fontId="1" type="noConversion"/>
  </si>
  <si>
    <t>負責人員</t>
    <phoneticPr fontId="1" type="noConversion"/>
  </si>
  <si>
    <t>備註</t>
    <phoneticPr fontId="1" type="noConversion"/>
  </si>
  <si>
    <t>彩排</t>
    <phoneticPr fontId="1" type="noConversion"/>
  </si>
  <si>
    <t>道具擺放</t>
    <phoneticPr fontId="1" type="noConversion"/>
  </si>
  <si>
    <t>餐點到場</t>
    <phoneticPr fontId="1" type="noConversion"/>
  </si>
  <si>
    <t>餐點整合</t>
    <phoneticPr fontId="1" type="noConversion"/>
  </si>
  <si>
    <t>廣播</t>
    <phoneticPr fontId="1" type="noConversion"/>
  </si>
  <si>
    <t>開場</t>
    <phoneticPr fontId="1" type="noConversion"/>
  </si>
  <si>
    <t>主持人筱筑、音樂控制</t>
    <phoneticPr fontId="1" type="noConversion"/>
  </si>
  <si>
    <t>主委致詞</t>
    <phoneticPr fontId="1" type="noConversion"/>
  </si>
  <si>
    <t>大合照</t>
    <phoneticPr fontId="1" type="noConversion"/>
  </si>
  <si>
    <t>餐點開始領用</t>
    <phoneticPr fontId="1" type="noConversion"/>
  </si>
  <si>
    <t>活動結束</t>
  </si>
  <si>
    <t>輕快的音樂</t>
  </si>
  <si>
    <t>互相提醒通知全員集合</t>
    <phoneticPr fontId="1" type="noConversion"/>
  </si>
  <si>
    <t>1:00~2:30</t>
    <phoneticPr fontId="1" type="noConversion"/>
  </si>
  <si>
    <t>各自負責的東西確認有無缺少(參考分工表)</t>
    <phoneticPr fontId="1" type="noConversion"/>
  </si>
  <si>
    <t>筱筑</t>
    <phoneticPr fontId="1" type="noConversion"/>
  </si>
  <si>
    <t>大家一起拍照</t>
    <phoneticPr fontId="1" type="noConversion"/>
  </si>
  <si>
    <t>享用Buffet</t>
    <phoneticPr fontId="1" type="noConversion"/>
  </si>
  <si>
    <t>詳情請看菜單內容</t>
    <phoneticPr fontId="1" type="noConversion"/>
  </si>
  <si>
    <t>主委</t>
    <phoneticPr fontId="1" type="noConversion"/>
  </si>
  <si>
    <t>訂餐相關事宜</t>
    <phoneticPr fontId="1" type="noConversion"/>
  </si>
  <si>
    <t>秋</t>
    <phoneticPr fontId="1" type="noConversion"/>
  </si>
  <si>
    <t>事項</t>
    <phoneticPr fontId="1" type="noConversion"/>
  </si>
  <si>
    <t>負責人</t>
    <phoneticPr fontId="1" type="noConversion"/>
  </si>
  <si>
    <t>3:00~3:10</t>
    <phoneticPr fontId="1" type="noConversion"/>
  </si>
  <si>
    <t xml:space="preserve">餐點預計排放2排，2排餐點一樣(參考layout)
素食者自行領取
</t>
    <phoneticPr fontId="1" type="noConversion"/>
  </si>
  <si>
    <t>預計總花費</t>
    <phoneticPr fontId="1" type="noConversion"/>
  </si>
  <si>
    <t>預計剩餘金額</t>
    <phoneticPr fontId="1" type="noConversion"/>
  </si>
  <si>
    <t>2:30~2:50</t>
    <phoneticPr fontId="1" type="noConversion"/>
  </si>
  <si>
    <t xml:space="preserve">中科福委人員all </t>
    <phoneticPr fontId="1" type="noConversion"/>
  </si>
  <si>
    <t>遊戲項目</t>
    <phoneticPr fontId="1" type="noConversion"/>
  </si>
  <si>
    <t>所需道具數量</t>
    <phoneticPr fontId="1" type="noConversion"/>
  </si>
  <si>
    <t>所需時間</t>
    <phoneticPr fontId="1" type="noConversion"/>
  </si>
  <si>
    <t>拍照人員 香綺</t>
    <phoneticPr fontId="1" type="noConversion"/>
  </si>
  <si>
    <t>桌椅擺設12/25 12:30請阿姨擺設桌椅</t>
    <phoneticPr fontId="1" type="noConversion"/>
  </si>
  <si>
    <t>瑛</t>
    <phoneticPr fontId="1" type="noConversion"/>
  </si>
  <si>
    <t>事前佈置、遊戲試玩、分裝獎金、摺名條進摸彩箱</t>
    <phoneticPr fontId="1" type="noConversion"/>
  </si>
  <si>
    <t>摸彩卷及遊戲人員名條製作</t>
    <phoneticPr fontId="1" type="noConversion"/>
  </si>
  <si>
    <t>提供音檔</t>
    <phoneticPr fontId="1" type="noConversion"/>
  </si>
  <si>
    <t>時間</t>
  </si>
  <si>
    <t>主持-筱筑</t>
  </si>
  <si>
    <t>致詞</t>
    <phoneticPr fontId="1" type="noConversion"/>
  </si>
  <si>
    <t>全部已就座</t>
    <phoneticPr fontId="1" type="noConversion"/>
  </si>
  <si>
    <t>2:30驗收(需加熱的食材2:50上)</t>
    <phoneticPr fontId="1" type="noConversion"/>
  </si>
  <si>
    <t>接下來我們要進行最期待的抽獎活動，請快點摳不在現場的親朋好友，不在現場就不能領獎喔~</t>
    <phoneticPr fontId="1" type="noConversion"/>
  </si>
  <si>
    <t>明年見!!!!!!!!!!!!!!!!!!</t>
    <phoneticPr fontId="1" type="noConversion"/>
  </si>
  <si>
    <t>限現場同仁抽獎</t>
    <phoneticPr fontId="1" type="noConversion"/>
  </si>
  <si>
    <t>音樂/投影-俊宏+宗恒</t>
    <phoneticPr fontId="1" type="noConversion"/>
  </si>
  <si>
    <t>明年見</t>
    <phoneticPr fontId="1" type="noConversion"/>
  </si>
  <si>
    <t>3:00-3:10</t>
    <phoneticPr fontId="1" type="noConversion"/>
  </si>
  <si>
    <t>(聖誕音樂，小聲)</t>
    <phoneticPr fontId="1" type="noConversion"/>
  </si>
  <si>
    <t>(聖誕音樂)</t>
    <phoneticPr fontId="1" type="noConversion"/>
  </si>
  <si>
    <t>9:00開始</t>
    <phoneticPr fontId="1" type="noConversion"/>
  </si>
  <si>
    <t>禮卷、紅包袋購買</t>
    <phoneticPr fontId="1" type="noConversion"/>
  </si>
  <si>
    <t>禮卷裝袋</t>
    <phoneticPr fontId="1" type="noConversion"/>
  </si>
  <si>
    <t>10 分鐘</t>
    <phoneticPr fontId="1" type="noConversion"/>
  </si>
  <si>
    <t>小遊戲參加獎: 科學麵 (36(48-12)包 = 2箱)</t>
    <phoneticPr fontId="1" type="noConversion"/>
  </si>
  <si>
    <t>禮券/伴手禮可以提早發 (早上)</t>
    <phoneticPr fontId="1" type="noConversion"/>
  </si>
  <si>
    <t>刪掉牛肉/蝦/現切/少樣多量，三明治做便宜的(類似洪瑞珍)盡量一人一個/鴨胸保留/牛不要</t>
  </si>
  <si>
    <t>前幾天</t>
    <phoneticPr fontId="1" type="noConversion"/>
  </si>
  <si>
    <t>伴手禮送達，點收項目</t>
    <phoneticPr fontId="1" type="noConversion"/>
  </si>
  <si>
    <t>筱筑、宗恒、俊宏</t>
    <phoneticPr fontId="1" type="noConversion"/>
  </si>
  <si>
    <t>撥放音樂-宗恒、俊宏(兩位可輪流取餐)</t>
  </si>
  <si>
    <t>筱筑、宗恒、俊宏(拍照香綺)</t>
  </si>
  <si>
    <t>筱筑、宗恒、俊宏</t>
  </si>
  <si>
    <t>需要白板給筑紀錄</t>
    <phoneticPr fontId="1" type="noConversion"/>
  </si>
  <si>
    <r>
      <t>兩層推車</t>
    </r>
    <r>
      <rPr>
        <sz val="12"/>
        <color theme="1"/>
        <rFont val="微軟正黑體"/>
        <family val="2"/>
        <charset val="136"/>
      </rPr>
      <t>、</t>
    </r>
    <r>
      <rPr>
        <sz val="12"/>
        <color theme="1"/>
        <rFont val="新細明體"/>
        <family val="2"/>
        <charset val="136"/>
        <scheme val="minor"/>
      </rPr>
      <t>筆 給主持人</t>
    </r>
    <phoneticPr fontId="1" type="noConversion"/>
  </si>
  <si>
    <t>幾組</t>
    <phoneticPr fontId="1" type="noConversion"/>
  </si>
  <si>
    <t>內容</t>
    <phoneticPr fontId="1" type="noConversion"/>
  </si>
  <si>
    <t>項次</t>
    <phoneticPr fontId="1" type="noConversion"/>
  </si>
  <si>
    <t>工作分配：</t>
    <phoneticPr fontId="1" type="noConversion"/>
  </si>
  <si>
    <t>禮券、紅包袋購買：秋</t>
    <phoneticPr fontId="1" type="noConversion"/>
  </si>
  <si>
    <t>事前布置、遊戲試玩、分裝獎金、摺名條進摸彩箱：所有人</t>
    <phoneticPr fontId="1" type="noConversion"/>
  </si>
  <si>
    <t>禮券裝袋：所有人</t>
    <phoneticPr fontId="1" type="noConversion"/>
  </si>
  <si>
    <t>分組時間</t>
    <phoneticPr fontId="1" type="noConversion"/>
  </si>
  <si>
    <t>3:40-3:50(10)</t>
  </si>
  <si>
    <t>12/13 試玩(健身房)加佈置</t>
    <phoneticPr fontId="1" type="noConversion"/>
  </si>
  <si>
    <t>於12/13進行</t>
    <phoneticPr fontId="1" type="noConversion"/>
  </si>
  <si>
    <t>廣播全場人員至餐廳準備 Party</t>
    <phoneticPr fontId="1" type="noConversion"/>
  </si>
  <si>
    <t>開始各細節確認&amp;順一次流程 (講稿及音檔) (試玩遊戲)</t>
    <phoneticPr fontId="1" type="noConversion"/>
  </si>
  <si>
    <t>確認餐點及餐具擺放定位完畢 (動線分區安排)</t>
    <phoneticPr fontId="1" type="noConversion"/>
  </si>
  <si>
    <t>排隊享用Buffet</t>
    <phoneticPr fontId="1" type="noConversion"/>
  </si>
  <si>
    <t>詢問同仁是否找好組別，6 人一組</t>
    <phoneticPr fontId="1" type="noConversion"/>
  </si>
  <si>
    <t>Buffet</t>
    <phoneticPr fontId="1" type="noConversion"/>
  </si>
  <si>
    <t>小遊戲抽籤: 8 位主管，每個遊戲 4 組，1 組 6 人</t>
    <phoneticPr fontId="1" type="noConversion"/>
  </si>
  <si>
    <t>遊戲規則、比賽方式</t>
    <phoneticPr fontId="1" type="noConversion"/>
  </si>
  <si>
    <t>上次負責人</t>
    <phoneticPr fontId="1" type="noConversion"/>
  </si>
  <si>
    <t>本次負責人</t>
    <phoneticPr fontId="1" type="noConversion"/>
  </si>
  <si>
    <t>致詞 &amp; 宣布餐會開始</t>
    <phoneticPr fontId="1" type="noConversion"/>
  </si>
  <si>
    <t>啟勳</t>
    <phoneticPr fontId="1" type="noConversion"/>
  </si>
  <si>
    <t>拍照手（頒獎、合照、過程等等）</t>
    <phoneticPr fontId="1" type="noConversion"/>
  </si>
  <si>
    <t>香</t>
    <phoneticPr fontId="1" type="noConversion"/>
  </si>
  <si>
    <t>順哥</t>
    <phoneticPr fontId="1" type="noConversion"/>
  </si>
  <si>
    <t>省哥</t>
    <phoneticPr fontId="1" type="noConversion"/>
  </si>
  <si>
    <t>生哥</t>
    <phoneticPr fontId="1" type="noConversion"/>
  </si>
  <si>
    <t>科學獎：抽獎&amp;頒獎</t>
    <phoneticPr fontId="1" type="noConversion"/>
  </si>
  <si>
    <t>二獎：抽獎&amp;頒獎</t>
    <phoneticPr fontId="1" type="noConversion"/>
  </si>
  <si>
    <t>三獎：抽獎&amp;頒獎</t>
    <phoneticPr fontId="1" type="noConversion"/>
  </si>
  <si>
    <t>一獎：抽獎&amp;頒獎</t>
    <phoneticPr fontId="1" type="noConversion"/>
  </si>
  <si>
    <t>遊戲獎金：頒獎</t>
    <phoneticPr fontId="1" type="noConversion"/>
  </si>
  <si>
    <t>蓉</t>
    <phoneticPr fontId="1" type="noConversion"/>
  </si>
  <si>
    <t>抽獎獎金簽收</t>
    <phoneticPr fontId="1" type="noConversion"/>
  </si>
  <si>
    <t>宗恒</t>
    <phoneticPr fontId="1" type="noConversion"/>
  </si>
  <si>
    <t>生哥+啟勳</t>
    <phoneticPr fontId="1" type="noConversion"/>
  </si>
  <si>
    <t>X</t>
    <phoneticPr fontId="1" type="noConversion"/>
  </si>
  <si>
    <t>音樂控制</t>
    <phoneticPr fontId="1" type="noConversion"/>
  </si>
  <si>
    <t>宗恒、俊宏</t>
    <phoneticPr fontId="1" type="noConversion"/>
  </si>
  <si>
    <t>俊宏</t>
    <phoneticPr fontId="1" type="noConversion"/>
  </si>
  <si>
    <t>時間</t>
    <phoneticPr fontId="1" type="noConversion"/>
  </si>
  <si>
    <t>發信給公司同仁提醒聖誕餐會</t>
    <phoneticPr fontId="1" type="noConversion"/>
  </si>
  <si>
    <t>各樓層通知聖誕餐會 (1F)</t>
    <phoneticPr fontId="1" type="noConversion"/>
  </si>
  <si>
    <t>各樓層通知聖誕餐會 (2F)</t>
    <phoneticPr fontId="1" type="noConversion"/>
  </si>
  <si>
    <t>15:00~15:10</t>
    <phoneticPr fontId="1" type="noConversion"/>
  </si>
  <si>
    <t>all</t>
    <phoneticPr fontId="1" type="noConversion"/>
  </si>
  <si>
    <t>遊戲時間</t>
    <phoneticPr fontId="1" type="noConversion"/>
  </si>
  <si>
    <t>遊戲結束</t>
    <phoneticPr fontId="1" type="noConversion"/>
  </si>
  <si>
    <t>15:50</t>
  </si>
  <si>
    <t>16:00</t>
  </si>
  <si>
    <t>16:25</t>
  </si>
  <si>
    <t>16:35</t>
  </si>
  <si>
    <t>14:30</t>
  </si>
  <si>
    <t>抽獎結束</t>
    <phoneticPr fontId="1" type="noConversion"/>
  </si>
  <si>
    <t>16:45</t>
    <phoneticPr fontId="1" type="noConversion"/>
  </si>
  <si>
    <t>主持人</t>
    <phoneticPr fontId="1" type="noConversion"/>
  </si>
  <si>
    <t>小築</t>
    <phoneticPr fontId="1" type="noConversion"/>
  </si>
  <si>
    <t>O</t>
    <phoneticPr fontId="1" type="noConversion"/>
  </si>
  <si>
    <t>寄信時須包含音樂+主持人講稿</t>
    <phoneticPr fontId="1" type="noConversion"/>
  </si>
  <si>
    <t>已(發信)確認</t>
    <phoneticPr fontId="1" type="noConversion"/>
  </si>
  <si>
    <t>香</t>
    <phoneticPr fontId="1" type="noConversion"/>
  </si>
  <si>
    <t>Roger</t>
    <phoneticPr fontId="1" type="noConversion"/>
  </si>
  <si>
    <t>香、瑛、蓉、秋</t>
  </si>
  <si>
    <t>香、瑛、蓉、秋</t>
    <phoneticPr fontId="1" type="noConversion"/>
  </si>
  <si>
    <t>各樓層通知聖誕餐會 (3F、4F)</t>
    <phoneticPr fontId="1" type="noConversion"/>
  </si>
  <si>
    <t>寄信時提醒</t>
    <phoneticPr fontId="1" type="noConversion"/>
  </si>
  <si>
    <t>邀請 Roger 上台致詞</t>
    <phoneticPr fontId="1" type="noConversion"/>
  </si>
  <si>
    <t>Roger 宣布</t>
    <phoneticPr fontId="1" type="noConversion"/>
  </si>
  <si>
    <t>已寄信邀請</t>
    <phoneticPr fontId="1" type="noConversion"/>
  </si>
  <si>
    <t>15:10</t>
    <phoneticPr fontId="1" type="noConversion"/>
  </si>
  <si>
    <t>抽出 8 位隊長</t>
    <phoneticPr fontId="1" type="noConversion"/>
  </si>
  <si>
    <t>12/25 時間</t>
    <phoneticPr fontId="1" type="noConversion"/>
  </si>
  <si>
    <t>遊戲前</t>
    <phoneticPr fontId="1" type="noConversion"/>
  </si>
  <si>
    <t>透過工號查詢遊戲人員姓名</t>
    <phoneticPr fontId="1" type="noConversion"/>
  </si>
  <si>
    <t>筱筑、宗恒、俊宏(拍照香綺)</t>
    <phoneticPr fontId="1" type="noConversion"/>
  </si>
  <si>
    <t>提供白紙讓各隊寫組員工號，請宗恒、俊宏用工號查詢姓名</t>
    <phoneticPr fontId="1" type="noConversion"/>
  </si>
  <si>
    <t>邀請 Roger 哥上台遞麥克風及指引</t>
    <phoneticPr fontId="1" type="noConversion"/>
  </si>
  <si>
    <t>遊戲隊長名單製作 (課級以上)</t>
    <phoneticPr fontId="1" type="noConversion"/>
  </si>
  <si>
    <r>
      <t>東泰</t>
    </r>
    <r>
      <rPr>
        <b/>
        <sz val="12"/>
        <color theme="1"/>
        <rFont val="微軟正黑體"/>
        <family val="2"/>
        <charset val="136"/>
      </rPr>
      <t>1點</t>
    </r>
    <r>
      <rPr>
        <sz val="12"/>
        <color theme="1"/>
        <rFont val="微軟正黑體"/>
        <family val="2"/>
        <charset val="136"/>
      </rPr>
      <t>到廠佈置 (確認餐點沒缺少)</t>
    </r>
    <phoneticPr fontId="1" type="noConversion"/>
  </si>
  <si>
    <t>參加獎 (科學麵) 購買</t>
    <phoneticPr fontId="1" type="noConversion"/>
  </si>
  <si>
    <t>遊戲：協助發道具、整隊</t>
    <phoneticPr fontId="1" type="noConversion"/>
  </si>
  <si>
    <t>遊戲：計時</t>
    <phoneticPr fontId="1" type="noConversion"/>
  </si>
  <si>
    <t>遊戲：裁判 (確認有無違規)</t>
    <phoneticPr fontId="1" type="noConversion"/>
  </si>
  <si>
    <r>
      <t>大合照時,  副總主管等合照位置</t>
    </r>
    <r>
      <rPr>
        <sz val="12"/>
        <color theme="8"/>
        <rFont val="微軟正黑體"/>
        <family val="2"/>
        <charset val="136"/>
      </rPr>
      <t>(聖誕音樂，小聲)</t>
    </r>
    <phoneticPr fontId="1" type="noConversion"/>
  </si>
  <si>
    <t>蓉、秋、瑛</t>
    <phoneticPr fontId="1" type="noConversion"/>
  </si>
  <si>
    <t>清點各隊隊員、協助補滿人數、填寫隊員工號</t>
    <phoneticPr fontId="1" type="noConversion"/>
  </si>
  <si>
    <t>物品</t>
    <phoneticPr fontId="1" type="noConversion"/>
  </si>
  <si>
    <t>摸彩籤筒、摸彩獎金*2、獎金簽收表</t>
    <phoneticPr fontId="1" type="noConversion"/>
  </si>
  <si>
    <t>摸彩籤筒、摸彩獎金*1、獎金簽收表</t>
    <phoneticPr fontId="1" type="noConversion"/>
  </si>
  <si>
    <t>禮券、伴手禮、領取勾選表</t>
    <phoneticPr fontId="1" type="noConversion"/>
  </si>
  <si>
    <t>buffet 菜單</t>
    <phoneticPr fontId="1" type="noConversion"/>
  </si>
  <si>
    <t>隊長籤筒、遊戲參加名單</t>
    <phoneticPr fontId="1" type="noConversion"/>
  </si>
  <si>
    <t>13:00</t>
    <phoneticPr fontId="1" type="noConversion"/>
  </si>
  <si>
    <t>桌椅排佈</t>
    <phoneticPr fontId="1" type="noConversion"/>
  </si>
  <si>
    <t>參考活動場地 layout 排佈桌椅</t>
    <phoneticPr fontId="1" type="noConversion"/>
  </si>
  <si>
    <t>活動場地 layout</t>
    <phoneticPr fontId="1" type="noConversion"/>
  </si>
  <si>
    <t>遊戲獎金、摸彩獎金、科學麵、獎金簽收單*2、遊戲參加名單(或白紙)、buffet 菜單、白板、筆、遊戲道具(呼拉圈、題組簡報、題組手卡)、摸彩箱*2 (隊長籤、摸彩籤、遊戲題組籤)</t>
    <phoneticPr fontId="1" type="noConversion"/>
  </si>
  <si>
    <t>檢查餐點</t>
    <phoneticPr fontId="1" type="noConversion"/>
  </si>
  <si>
    <t>桌椅排佈 (參考"活動場地 layout")</t>
    <phoneticPr fontId="1" type="noConversion"/>
  </si>
  <si>
    <t>12:30</t>
    <phoneticPr fontId="1" type="noConversion"/>
  </si>
  <si>
    <t>詳讀小遊戲規則 (參考"小遊戲")</t>
    <phoneticPr fontId="1" type="noConversion"/>
  </si>
  <si>
    <t>遊戲：協助發參加獎、按遊戲題目的PPT</t>
    <phoneticPr fontId="1" type="noConversion"/>
  </si>
  <si>
    <t>送到... (待確認)
根據各部門人數分堆</t>
    <phoneticPr fontId="1" type="noConversion"/>
  </si>
  <si>
    <t>活動結束後：場地復原</t>
    <phoneticPr fontId="1" type="noConversion"/>
  </si>
  <si>
    <t>伴手禮點收+協助搬到會議室+依各部門人數分堆</t>
    <phoneticPr fontId="1" type="noConversion"/>
  </si>
  <si>
    <t>場地復原</t>
    <phoneticPr fontId="1" type="noConversion"/>
  </si>
  <si>
    <t>場地復原，筱筑提醒同仁找各部門助理領取伴手禮及禮券</t>
    <phoneticPr fontId="1" type="noConversion"/>
  </si>
  <si>
    <t>福委人員all&amp;各助理們</t>
    <phoneticPr fontId="1" type="noConversion"/>
  </si>
  <si>
    <t>指引/遞麥-筱筑</t>
    <phoneticPr fontId="1" type="noConversion"/>
  </si>
  <si>
    <t>拍照-香綺</t>
    <phoneticPr fontId="1" type="noConversion"/>
  </si>
  <si>
    <r>
      <rPr>
        <sz val="12"/>
        <color rgb="FF009900"/>
        <rFont val="微軟正黑體"/>
        <family val="2"/>
        <charset val="136"/>
      </rPr>
      <t>02:30</t>
    </r>
    <r>
      <rPr>
        <sz val="12"/>
        <rFont val="微軟正黑體"/>
        <family val="2"/>
        <charset val="136"/>
      </rPr>
      <t>各負責委員上樓叫人</t>
    </r>
    <phoneticPr fontId="1" type="noConversion"/>
  </si>
  <si>
    <t>13:00開始暖場音樂
開場(大家好…)音樂淡出後關掉</t>
    <phoneticPr fontId="1" type="noConversion"/>
  </si>
  <si>
    <r>
      <rPr>
        <b/>
        <sz val="12"/>
        <color rgb="FF0000CC"/>
        <rFont val="微軟正黑體"/>
        <family val="2"/>
        <charset val="136"/>
      </rPr>
      <t>感謝:</t>
    </r>
    <r>
      <rPr>
        <sz val="12"/>
        <rFont val="微軟正黑體"/>
        <family val="2"/>
        <charset val="136"/>
      </rPr>
      <t>感謝這一屆</t>
    </r>
    <r>
      <rPr>
        <sz val="12"/>
        <color rgb="FF009900"/>
        <rFont val="微軟正黑體"/>
        <family val="2"/>
        <charset val="136"/>
      </rPr>
      <t>中科廠</t>
    </r>
    <r>
      <rPr>
        <sz val="12"/>
        <rFont val="微軟正黑體"/>
        <family val="2"/>
        <charset val="136"/>
      </rPr>
      <t>福委會的委員為餐會做的準備, 也感謝參與幫忙的夥伴們 (俊宏、宗恒、筱筑)
若有準備不周的地方，請大家多多見諒喔 ! 委員們已經很努力了，抱怨一律聽不見喔~</t>
    </r>
    <phoneticPr fontId="1" type="noConversion"/>
  </si>
  <si>
    <r>
      <rPr>
        <b/>
        <sz val="12"/>
        <color rgb="FF0000CC"/>
        <rFont val="微軟正黑體"/>
        <family val="2"/>
        <charset val="136"/>
      </rPr>
      <t>致詞:</t>
    </r>
    <r>
      <rPr>
        <sz val="12"/>
        <rFont val="微軟正黑體"/>
        <family val="2"/>
        <charset val="136"/>
      </rPr>
      <t>有請</t>
    </r>
    <r>
      <rPr>
        <sz val="12"/>
        <color rgb="FF009900"/>
        <rFont val="微軟正黑體"/>
        <family val="2"/>
        <charset val="136"/>
      </rPr>
      <t>福委會主委</t>
    </r>
    <r>
      <rPr>
        <sz val="12"/>
        <rFont val="微軟正黑體"/>
        <family val="2"/>
        <charset val="136"/>
      </rPr>
      <t>Roger哥來跟我們說一下話</t>
    </r>
    <phoneticPr fontId="1" type="noConversion"/>
  </si>
  <si>
    <r>
      <rPr>
        <b/>
        <sz val="12"/>
        <color rgb="FF0000CC"/>
        <rFont val="微軟正黑體"/>
        <family val="2"/>
        <charset val="136"/>
      </rPr>
      <t>大合照</t>
    </r>
    <r>
      <rPr>
        <sz val="12"/>
        <color rgb="FF0000CC"/>
        <rFont val="微軟正黑體"/>
        <family val="2"/>
        <charset val="136"/>
      </rPr>
      <t xml:space="preserve">: </t>
    </r>
    <r>
      <rPr>
        <sz val="12"/>
        <rFont val="微軟正黑體"/>
        <family val="2"/>
        <charset val="136"/>
      </rPr>
      <t>請</t>
    </r>
    <r>
      <rPr>
        <sz val="12"/>
        <color rgb="FF009900"/>
        <rFont val="微軟正黑體"/>
        <family val="2"/>
        <charset val="136"/>
      </rPr>
      <t>主委</t>
    </r>
    <r>
      <rPr>
        <sz val="12"/>
        <rFont val="微軟正黑體"/>
        <family val="2"/>
        <charset val="136"/>
      </rPr>
      <t>Roger哥留步，接下來有請各位同仁移步到台前大合照，被抓到不來台前的不能抽獎喔!! 當然也沒得吃囉~這次拍照，我們要來個三連拍、大愛心、小愛心、最後再來個 讚！</t>
    </r>
    <phoneticPr fontId="1" type="noConversion"/>
  </si>
  <si>
    <t>(輕快的音樂)</t>
    <phoneticPr fontId="1" type="noConversion"/>
  </si>
  <si>
    <t>遊戲一
&lt;速傳呼拉圈&gt;</t>
    <phoneticPr fontId="1" type="noConversion"/>
  </si>
  <si>
    <r>
      <t>呼拉圈</t>
    </r>
    <r>
      <rPr>
        <b/>
        <sz val="12"/>
        <color rgb="FF009900"/>
        <rFont val="微軟正黑體"/>
        <family val="2"/>
        <charset val="136"/>
      </rPr>
      <t>3</t>
    </r>
    <r>
      <rPr>
        <b/>
        <sz val="12"/>
        <color theme="1"/>
        <rFont val="微軟正黑體"/>
        <family val="2"/>
        <charset val="136"/>
      </rPr>
      <t>個</t>
    </r>
    <r>
      <rPr>
        <b/>
        <sz val="12"/>
        <color rgb="FF009900"/>
        <rFont val="微軟正黑體"/>
        <family val="2"/>
        <charset val="136"/>
      </rPr>
      <t>-滿蓉準備
(2個呼拉圈-遊戲用
1個呼拉圈-備用)
投影片(遊戲規則)-純瑛準備</t>
    </r>
    <phoneticPr fontId="1" type="noConversion"/>
  </si>
  <si>
    <r>
      <t>每組成員需</t>
    </r>
    <r>
      <rPr>
        <b/>
        <sz val="12"/>
        <color rgb="FF009900"/>
        <rFont val="微軟正黑體"/>
        <family val="2"/>
        <charset val="136"/>
      </rPr>
      <t>遊戲全程都</t>
    </r>
    <r>
      <rPr>
        <b/>
        <sz val="12"/>
        <color theme="1"/>
        <rFont val="微軟正黑體"/>
        <family val="2"/>
        <charset val="136"/>
      </rPr>
      <t>手拉手站成一排，從第一位成員開始將呼拉圈傳遞到最後一位成員。
呼拉圈必須</t>
    </r>
    <r>
      <rPr>
        <b/>
        <sz val="12"/>
        <color rgb="FF009900"/>
        <rFont val="微軟正黑體"/>
        <family val="2"/>
        <charset val="136"/>
      </rPr>
      <t>通</t>
    </r>
    <r>
      <rPr>
        <b/>
        <sz val="12"/>
        <color theme="1"/>
        <rFont val="微軟正黑體"/>
        <family val="2"/>
        <charset val="136"/>
      </rPr>
      <t>過每個人的身體</t>
    </r>
    <r>
      <rPr>
        <b/>
        <sz val="12"/>
        <color rgb="FF009900"/>
        <rFont val="微軟正黑體"/>
        <family val="2"/>
        <charset val="136"/>
      </rPr>
      <t>傳遞</t>
    </r>
    <r>
      <rPr>
        <b/>
        <sz val="12"/>
        <color theme="1"/>
        <rFont val="微軟正黑體"/>
        <family val="2"/>
        <charset val="136"/>
      </rPr>
      <t>，且全程雙手不得鬆開。
遊戲開始前，呼拉圈放在第一個人的腳邊，</t>
    </r>
    <r>
      <rPr>
        <b/>
        <sz val="12"/>
        <color rgb="FF009900"/>
        <rFont val="微軟正黑體"/>
        <family val="2"/>
        <charset val="136"/>
      </rPr>
      <t>當主持人喊開始</t>
    </r>
    <r>
      <rPr>
        <b/>
        <sz val="12"/>
        <color theme="1"/>
        <rFont val="微軟正黑體"/>
        <family val="2"/>
        <charset val="136"/>
      </rPr>
      <t>後，第一個人才能拿起呼拉圈開始傳遞，</t>
    </r>
    <r>
      <rPr>
        <b/>
        <sz val="12"/>
        <color rgb="FF009900"/>
        <rFont val="微軟正黑體"/>
        <family val="2"/>
        <charset val="136"/>
      </rPr>
      <t>當完成最後一人的傳遞後</t>
    </r>
    <r>
      <rPr>
        <b/>
        <sz val="12"/>
        <color theme="1"/>
        <rFont val="微軟正黑體"/>
        <family val="2"/>
        <charset val="136"/>
      </rPr>
      <t>，</t>
    </r>
    <r>
      <rPr>
        <b/>
        <sz val="12"/>
        <color rgb="FF009900"/>
        <rFont val="微軟正黑體"/>
        <family val="2"/>
        <charset val="136"/>
      </rPr>
      <t>必須全員都</t>
    </r>
    <r>
      <rPr>
        <b/>
        <sz val="12"/>
        <color theme="1"/>
        <rFont val="微軟正黑體"/>
        <family val="2"/>
        <charset val="136"/>
      </rPr>
      <t>一起舉起雙手(</t>
    </r>
    <r>
      <rPr>
        <b/>
        <sz val="12"/>
        <color rgb="FF009900"/>
        <rFont val="微軟正黑體"/>
        <family val="2"/>
        <charset val="136"/>
      </rPr>
      <t>遊戲全程皆維持每人手拉手)</t>
    </r>
    <r>
      <rPr>
        <b/>
        <sz val="12"/>
        <color theme="1"/>
        <rFont val="微軟正黑體"/>
        <family val="2"/>
        <charset val="136"/>
      </rPr>
      <t>才會停止計時。
如果途中有人雙手放開，則</t>
    </r>
    <r>
      <rPr>
        <b/>
        <sz val="12"/>
        <color rgb="FF009900"/>
        <rFont val="微軟正黑體"/>
        <family val="2"/>
        <charset val="136"/>
      </rPr>
      <t>每放手一次</t>
    </r>
    <r>
      <rPr>
        <b/>
        <sz val="12"/>
        <color theme="1"/>
        <rFont val="微軟正黑體"/>
        <family val="2"/>
        <charset val="136"/>
      </rPr>
      <t xml:space="preserve">加 5 秒。
需要有一個人計時，一個人當裁判確認雙手未鬆開。
每一輪只有一組進行遊戲，四輪結束後，將依照完成時間，最快完成的隊伍獲勝。
</t>
    </r>
    <r>
      <rPr>
        <b/>
        <sz val="12"/>
        <color rgb="FFFF0000"/>
        <rFont val="微軟正黑體"/>
        <family val="2"/>
        <charset val="136"/>
      </rPr>
      <t>【每次一隊，計時賽】</t>
    </r>
    <phoneticPr fontId="1" type="noConversion"/>
  </si>
  <si>
    <t>遊戲二
&lt;OX選邊跳&gt;</t>
    <phoneticPr fontId="1" type="noConversion"/>
  </si>
  <si>
    <r>
      <t>題目：135題(做成手卡)</t>
    </r>
    <r>
      <rPr>
        <b/>
        <sz val="12"/>
        <color rgb="FF009900"/>
        <rFont val="微軟正黑體"/>
        <family val="2"/>
        <charset val="136"/>
      </rPr>
      <t>-瑞梓準備</t>
    </r>
    <r>
      <rPr>
        <b/>
        <sz val="12"/>
        <color theme="1"/>
        <rFont val="微軟正黑體"/>
        <family val="2"/>
        <charset val="136"/>
      </rPr>
      <t xml:space="preserve">
</t>
    </r>
    <r>
      <rPr>
        <b/>
        <sz val="12"/>
        <color rgb="FF009900"/>
        <rFont val="微軟正黑體"/>
        <family val="2"/>
        <charset val="136"/>
      </rPr>
      <t>無塵膠帶</t>
    </r>
    <r>
      <rPr>
        <b/>
        <sz val="12"/>
        <color theme="1"/>
        <rFont val="微軟正黑體"/>
        <family val="2"/>
        <charset val="136"/>
      </rPr>
      <t>(標示中心線)</t>
    </r>
    <r>
      <rPr>
        <b/>
        <sz val="12"/>
        <color rgb="FF009900"/>
        <rFont val="微軟正黑體"/>
        <family val="2"/>
        <charset val="136"/>
      </rPr>
      <t>-純瑛準備</t>
    </r>
    <r>
      <rPr>
        <b/>
        <sz val="12"/>
        <color theme="1"/>
        <rFont val="微軟正黑體"/>
        <family val="2"/>
        <charset val="136"/>
      </rPr>
      <t xml:space="preserve">
</t>
    </r>
    <r>
      <rPr>
        <b/>
        <sz val="12"/>
        <color rgb="FF009900"/>
        <rFont val="微軟正黑體"/>
        <family val="2"/>
        <charset val="136"/>
      </rPr>
      <t>立牌</t>
    </r>
    <r>
      <rPr>
        <b/>
        <sz val="12"/>
        <color theme="1"/>
        <rFont val="微軟正黑體"/>
        <family val="2"/>
        <charset val="136"/>
      </rPr>
      <t>(標示OX)</t>
    </r>
    <r>
      <rPr>
        <b/>
        <sz val="12"/>
        <color rgb="FF009900"/>
        <rFont val="微軟正黑體"/>
        <family val="2"/>
        <charset val="136"/>
      </rPr>
      <t>-香綺準備</t>
    </r>
    <r>
      <rPr>
        <b/>
        <sz val="12"/>
        <color theme="1"/>
        <rFont val="微軟正黑體"/>
        <family val="2"/>
        <charset val="136"/>
      </rPr>
      <t xml:space="preserve">
投影片(遊戲規則和OX題目)</t>
    </r>
    <r>
      <rPr>
        <b/>
        <sz val="12"/>
        <color rgb="FF009900"/>
        <rFont val="微軟正黑體"/>
        <family val="2"/>
        <charset val="136"/>
      </rPr>
      <t>-純瑛準備</t>
    </r>
    <phoneticPr fontId="1" type="noConversion"/>
  </si>
  <si>
    <t>最多 1 局 5 分鐘
總共 15 分鐘</t>
    <phoneticPr fontId="1" type="noConversion"/>
  </si>
  <si>
    <r>
      <rPr>
        <b/>
        <sz val="12"/>
        <color rgb="FF009900"/>
        <rFont val="微軟正黑體"/>
        <family val="2"/>
        <charset val="136"/>
      </rPr>
      <t>遊戲第一題開始前請</t>
    </r>
    <r>
      <rPr>
        <b/>
        <sz val="12"/>
        <rFont val="微軟正黑體"/>
        <family val="2"/>
        <charset val="136"/>
      </rPr>
      <t xml:space="preserve">每位參賽者站在中心線，主持人出題後，快速判斷答案並跳到對應區域：
</t>
    </r>
    <r>
      <rPr>
        <b/>
        <sz val="12"/>
        <color rgb="FF009900"/>
        <rFont val="微軟正黑體"/>
        <family val="2"/>
        <charset val="136"/>
      </rPr>
      <t>覺得答案是對請</t>
    </r>
    <r>
      <rPr>
        <b/>
        <sz val="12"/>
        <rFont val="微軟正黑體"/>
        <family val="2"/>
        <charset val="136"/>
      </rPr>
      <t xml:space="preserve">跳到「O」區。
</t>
    </r>
    <r>
      <rPr>
        <b/>
        <sz val="12"/>
        <color rgb="FF009900"/>
        <rFont val="微軟正黑體"/>
        <family val="2"/>
        <charset val="136"/>
      </rPr>
      <t>覺得答案是對請</t>
    </r>
    <r>
      <rPr>
        <b/>
        <sz val="12"/>
        <rFont val="微軟正黑體"/>
        <family val="2"/>
        <charset val="136"/>
      </rPr>
      <t>跳到「X」區。
如果</t>
    </r>
    <r>
      <rPr>
        <b/>
        <sz val="12"/>
        <color rgb="FF009900"/>
        <rFont val="微軟正黑體"/>
        <family val="2"/>
        <charset val="136"/>
      </rPr>
      <t>題目連續</t>
    </r>
    <r>
      <rPr>
        <b/>
        <sz val="12"/>
        <rFont val="微軟正黑體"/>
        <family val="2"/>
        <charset val="136"/>
      </rPr>
      <t>都是「O」或「X」</t>
    </r>
    <r>
      <rPr>
        <b/>
        <sz val="12"/>
        <color rgb="FF009900"/>
        <rFont val="微軟正黑體"/>
        <family val="2"/>
        <charset val="136"/>
      </rPr>
      <t>都</t>
    </r>
    <r>
      <rPr>
        <b/>
        <sz val="12"/>
        <rFont val="微軟正黑體"/>
        <family val="2"/>
        <charset val="136"/>
      </rPr>
      <t xml:space="preserve">需要原地跳一下。
</t>
    </r>
    <r>
      <rPr>
        <b/>
        <sz val="12"/>
        <color rgb="FF009900"/>
        <rFont val="微軟正黑體"/>
        <family val="2"/>
        <charset val="136"/>
      </rPr>
      <t>兩隻腳都不能採到中心線。</t>
    </r>
    <r>
      <rPr>
        <b/>
        <sz val="12"/>
        <rFont val="微軟正黑體"/>
        <family val="2"/>
        <charset val="136"/>
      </rPr>
      <t xml:space="preserve">
以常識為基準進行判斷，不要朝例外的方向思考。
答錯的人直接淘汰。
反應比較慢的人可以獲得一次機會 (</t>
    </r>
    <r>
      <rPr>
        <b/>
        <sz val="12"/>
        <color rgb="FF009900"/>
        <rFont val="微軟正黑體"/>
        <family val="2"/>
        <charset val="136"/>
      </rPr>
      <t>只能</t>
    </r>
    <r>
      <rPr>
        <b/>
        <sz val="12"/>
        <rFont val="微軟正黑體"/>
        <family val="2"/>
        <charset val="136"/>
      </rPr>
      <t>醜一)，但第二次 (</t>
    </r>
    <r>
      <rPr>
        <b/>
        <sz val="12"/>
        <color rgb="FF009900"/>
        <rFont val="微軟正黑體"/>
        <family val="2"/>
        <charset val="136"/>
      </rPr>
      <t>沒有</t>
    </r>
    <r>
      <rPr>
        <b/>
        <sz val="12"/>
        <rFont val="微軟正黑體"/>
        <family val="2"/>
        <charset val="136"/>
      </rPr>
      <t xml:space="preserve">醜二) </t>
    </r>
    <r>
      <rPr>
        <b/>
        <sz val="12"/>
        <color rgb="FF009900"/>
        <rFont val="微軟正黑體"/>
        <family val="2"/>
        <charset val="136"/>
      </rPr>
      <t>就</t>
    </r>
    <r>
      <rPr>
        <b/>
        <sz val="12"/>
        <rFont val="微軟正黑體"/>
        <family val="2"/>
        <charset val="136"/>
      </rPr>
      <t>直接淘汰。
每輪比賽由兩組隊伍 PK，兩隊人員穿插排成一直線，前兩輪中，最後</t>
    </r>
    <r>
      <rPr>
        <b/>
        <sz val="12"/>
        <color rgb="FF009900"/>
        <rFont val="微軟正黑體"/>
        <family val="2"/>
        <charset val="136"/>
      </rPr>
      <t>留在</t>
    </r>
    <r>
      <rPr>
        <b/>
        <sz val="12"/>
        <rFont val="微軟正黑體"/>
        <family val="2"/>
        <charset val="136"/>
      </rPr>
      <t>場上的人的所屬組別將晉級。晉級的隊伍需進行第三輪比賽。
第一輪：第 1、2 組進行 PK。第二輪：第 3、4 組進行 PK。第三輪 (決賽)：前兩輪晉級的隊伍進行 PK，最後</t>
    </r>
    <r>
      <rPr>
        <b/>
        <sz val="12"/>
        <color rgb="FF009900"/>
        <rFont val="微軟正黑體"/>
        <family val="2"/>
        <charset val="136"/>
      </rPr>
      <t>留在場上</t>
    </r>
    <r>
      <rPr>
        <b/>
        <sz val="12"/>
        <rFont val="微軟正黑體"/>
        <family val="2"/>
        <charset val="136"/>
      </rPr>
      <t xml:space="preserve">的人的所屬隊伍獲勝。
</t>
    </r>
    <r>
      <rPr>
        <b/>
        <sz val="12"/>
        <color rgb="FFFF0000"/>
        <rFont val="微軟正黑體"/>
        <family val="2"/>
        <charset val="136"/>
      </rPr>
      <t>【兩輪PK賽】</t>
    </r>
    <phoneticPr fontId="1" type="noConversion"/>
  </si>
  <si>
    <t>聖誕餐會預計花費項目</t>
  </si>
  <si>
    <t>單價(元)</t>
  </si>
  <si>
    <t>數量</t>
  </si>
  <si>
    <t>額外</t>
  </si>
  <si>
    <t>金額(元)</t>
  </si>
  <si>
    <t>備註</t>
  </si>
  <si>
    <t>　</t>
  </si>
  <si>
    <t>摸彩獎金</t>
  </si>
  <si>
    <t>主持人/音控人員紅包  (600元/人)</t>
  </si>
  <si>
    <t>小遊戲道具</t>
  </si>
  <si>
    <t>聖誕佈置用品</t>
  </si>
  <si>
    <t>禮券小計：</t>
    <phoneticPr fontId="1" type="noConversion"/>
  </si>
  <si>
    <r>
      <t xml:space="preserve">本次會發 </t>
    </r>
    <r>
      <rPr>
        <sz val="12"/>
        <color rgb="FFFF0000"/>
        <rFont val="微軟正黑體"/>
        <family val="2"/>
        <charset val="136"/>
      </rPr>
      <t>500元</t>
    </r>
    <r>
      <rPr>
        <sz val="12"/>
        <color theme="1"/>
        <rFont val="微軟正黑體"/>
        <family val="2"/>
        <charset val="136"/>
      </rPr>
      <t xml:space="preserve">的全聯禮券，目前預計 </t>
    </r>
    <r>
      <rPr>
        <sz val="12"/>
        <color rgb="FFFF0000"/>
        <rFont val="微軟正黑體"/>
        <family val="2"/>
        <charset val="136"/>
      </rPr>
      <t>231 人</t>
    </r>
    <r>
      <rPr>
        <sz val="12"/>
        <color theme="1"/>
        <rFont val="微軟正黑體"/>
        <family val="2"/>
        <charset val="136"/>
      </rPr>
      <t>。</t>
    </r>
    <phoneticPr fontId="1" type="noConversion"/>
  </si>
  <si>
    <r>
      <t xml:space="preserve">聖誕餐會時間為 </t>
    </r>
    <r>
      <rPr>
        <sz val="12"/>
        <color rgb="FFFF0000"/>
        <rFont val="微軟正黑體"/>
        <family val="2"/>
        <charset val="136"/>
      </rPr>
      <t>12/24</t>
    </r>
    <r>
      <rPr>
        <sz val="12"/>
        <color theme="1"/>
        <rFont val="微軟正黑體"/>
        <family val="2"/>
        <charset val="136"/>
      </rPr>
      <t>，需發信公告。</t>
    </r>
    <phoneticPr fontId="1" type="noConversion"/>
  </si>
  <si>
    <t>總預算為 231000元，扣除抽獎 20000元、工作人員紅包 1800元 = 209200 元，
209200元 / 231人 = 905.6元，扣除全聯禮券 500元，大約剩餘 400元為外燴預算。</t>
    <phoneticPr fontId="1" type="noConversion"/>
  </si>
  <si>
    <t>訂餐相關事宜：品</t>
    <phoneticPr fontId="1" type="noConversion"/>
  </si>
  <si>
    <t>摸彩券 (遊戲和抽獎的)：蓉、品 (負責名單)，籤筒 * 1 (健身房一個，瑛有一個)</t>
    <phoneticPr fontId="1" type="noConversion"/>
  </si>
  <si>
    <t>禮券可以提早發 (24號早上)，屆時需要所有人一起幫忙。</t>
    <phoneticPr fontId="1" type="noConversion"/>
  </si>
  <si>
    <t>桌椅擺設 12/24 12:30 請阿姨擺設桌椅：品</t>
    <phoneticPr fontId="1" type="noConversion"/>
  </si>
  <si>
    <t>摸彩貼條 (含黏貼)、製作簽收獎金表格：品、秋 (紅包袋)</t>
    <phoneticPr fontId="1" type="noConversion"/>
  </si>
  <si>
    <t>五百元全聯禮券(台中廠)</t>
    <phoneticPr fontId="1" type="noConversion"/>
  </si>
  <si>
    <t>歡樂派Buffet  (400元/人)</t>
    <phoneticPr fontId="1" type="noConversion"/>
  </si>
  <si>
    <t>備用抽獎</t>
    <phoneticPr fontId="1" type="noConversion"/>
  </si>
  <si>
    <t>蓉、秋、瑛、香、品</t>
  </si>
  <si>
    <t>香、品、蓉</t>
  </si>
  <si>
    <t>品</t>
  </si>
  <si>
    <t>品 (暫定)</t>
  </si>
  <si>
    <t>品、香、蓉</t>
  </si>
  <si>
    <t>東泰宴會設計、品、香、蓉</t>
  </si>
  <si>
    <t>1樓-瑛   2樓-蓉   3+4樓-香   發信-品</t>
  </si>
  <si>
    <t>因工安不給使用廣播，發信也不一定都會看，但信還是由品幫忙發，外加一人負責一層樓</t>
  </si>
  <si>
    <t>1樓(含現場)-瑛；2樓-蓉；3+4樓-香；發信-品</t>
  </si>
  <si>
    <t>All(品、蓉、香、瑛、秋)</t>
  </si>
  <si>
    <t>蓉、品(名單)</t>
  </si>
  <si>
    <t>品、秋(紅包袋)</t>
  </si>
  <si>
    <t>籤筒*1(健身房一個，瑛有一個)</t>
    <phoneticPr fontId="1" type="noConversion"/>
  </si>
  <si>
    <t>摸彩貼條(含黏貼)、 製作簽收獎金表格(找美如要表格)</t>
    <phoneticPr fontId="1" type="noConversion"/>
  </si>
  <si>
    <t>歡樂派(含素食餐盒)</t>
    <phoneticPr fontId="1" type="noConversion"/>
  </si>
  <si>
    <t>本次外燴由歡樂派處理(下午1:00，總務淑玲構通，)，依據目前給予的菜單做調整，調整項目包含：刪掉牛肉、蝦、現切，以少樣多量為主，盡量一人一個。</t>
    <phoneticPr fontId="1" type="noConversion"/>
  </si>
  <si>
    <r>
      <t>抽獎需要簽名，找美如要表格。(先幫主管取餐、精緻餐盒)</t>
    </r>
    <r>
      <rPr>
        <sz val="12"/>
        <color rgb="FFFF0000"/>
        <rFont val="微軟正黑體"/>
        <family val="2"/>
        <charset val="136"/>
      </rPr>
      <t>禮卷1000元漢來*7+響響*5(聰生頒)，頭獎 3000 元 * 1 人 (聰生頒)，二獎 2000 元 * 2 人 (啟勳頒)，三獎 1000 元 * 3 人 (敏生頒)，小獎 500 元 * 10 人 (敏生頒)，迷你獎 200 元 * 25 人 (朝信頒)，包包&amp;娃娃*3(啟勳頒)。</t>
    </r>
    <phoneticPr fontId="1" type="noConversion"/>
  </si>
  <si>
    <t>音控</t>
    <phoneticPr fontId="1" type="noConversion"/>
  </si>
  <si>
    <t>聖誕音樂2hr、頒獎音樂</t>
    <phoneticPr fontId="1" type="noConversion"/>
  </si>
  <si>
    <t>加熱區</t>
    <phoneticPr fontId="1" type="noConversion"/>
  </si>
  <si>
    <t>主委註記幾點要開電，告知廠商</t>
    <phoneticPr fontId="1" type="noConversion"/>
  </si>
  <si>
    <t>打包盒不要一開始就拿出來，4.才拿出來</t>
    <phoneticPr fontId="1" type="noConversion"/>
  </si>
  <si>
    <t>拍照</t>
    <phoneticPr fontId="1" type="noConversion"/>
  </si>
  <si>
    <t>All(品、蓉、香、瑛、秋)</t>
    <phoneticPr fontId="1" type="noConversion"/>
  </si>
  <si>
    <t>香錡</t>
    <phoneticPr fontId="1" type="noConversion"/>
  </si>
  <si>
    <t>桌圖</t>
    <phoneticPr fontId="1" type="noConversion"/>
  </si>
  <si>
    <t>邀請長官</t>
    <phoneticPr fontId="1" type="noConversion"/>
  </si>
  <si>
    <t>管獎金</t>
    <phoneticPr fontId="1" type="noConversion"/>
  </si>
  <si>
    <t>告知場商結束時間、報價單請廠商寫駐現場人數(申請入場)，餐具數量</t>
    <phoneticPr fontId="1" type="noConversion"/>
  </si>
  <si>
    <r>
      <t>宣佈用餐開始:請</t>
    </r>
    <r>
      <rPr>
        <b/>
        <sz val="12"/>
        <color rgb="FFFF0000"/>
        <rFont val="微軟正黑體"/>
        <family val="2"/>
        <charset val="136"/>
      </rPr>
      <t>開場主管???</t>
    </r>
    <r>
      <rPr>
        <sz val="12"/>
        <rFont val="微軟正黑體"/>
        <family val="2"/>
        <charset val="136"/>
      </rPr>
      <t>宣佈 [開始用餐] 請大家酌量取用，讓每位同仁都能享用到餐點哦，另外兩排餐點都是一樣的~不需在同一排拿餐，各位小哥哥小姊姊也請幫我們留意補餐人員，不要撞到他們喔
接下來大家耳朵請借給我，我們請瑞品來抽出等等遊戲的8位隊長，贏得遊戲還可以拿到更多好康喔</t>
    </r>
    <phoneticPr fontId="1" type="noConversion"/>
  </si>
  <si>
    <r>
      <t xml:space="preserve">蓉秋瑛-清點各桌狀況與組長，協助補滿隊伍
俊宏+宗恒-協助用工號查詢姓名(遊戲參加名單)
</t>
    </r>
    <r>
      <rPr>
        <sz val="12"/>
        <color theme="8"/>
        <rFont val="微軟正黑體"/>
        <family val="2"/>
        <charset val="136"/>
      </rPr>
      <t>(聖誕音樂，正常音量)</t>
    </r>
    <phoneticPr fontId="1" type="noConversion"/>
  </si>
  <si>
    <t>選出各桌組長</t>
    <phoneticPr fontId="1" type="noConversion"/>
  </si>
  <si>
    <t>3:10-3:20</t>
    <phoneticPr fontId="1" type="noConversion"/>
  </si>
  <si>
    <t>這次沒有小遊戲，但與之相反的要抽的獎項有點多~ 各桌選出一個組長確認同桌組員到場狀況，以訪有人被抽到或缺席沒及時確認到，各組長如果有抽到你們桌的請跟現場回報狀況~我們3:20準時開始抽獎</t>
    <phoneticPr fontId="1" type="noConversion"/>
  </si>
  <si>
    <r>
      <t>【幸運迷你獎】200 元 25名
(香綺-拍照)</t>
    </r>
    <r>
      <rPr>
        <sz val="12"/>
        <color theme="8"/>
        <rFont val="微軟正黑體"/>
        <family val="2"/>
        <charset val="136"/>
      </rPr>
      <t>(頒獎音樂)</t>
    </r>
    <phoneticPr fontId="1" type="noConversion"/>
  </si>
  <si>
    <r>
      <t>【歡樂小確幸獎】500元 10名
(香綺-拍照)</t>
    </r>
    <r>
      <rPr>
        <sz val="12"/>
        <color theme="8"/>
        <rFont val="微軟正黑體"/>
        <family val="2"/>
        <charset val="136"/>
      </rPr>
      <t>(頒獎音樂)</t>
    </r>
    <phoneticPr fontId="1" type="noConversion"/>
  </si>
  <si>
    <r>
      <t>【幸福三重奏】1000元 3名 (拍照手-香)</t>
    </r>
    <r>
      <rPr>
        <sz val="12"/>
        <color theme="8"/>
        <rFont val="微軟正黑體"/>
        <family val="2"/>
        <charset val="136"/>
      </rPr>
      <t>(頒獎音樂)</t>
    </r>
    <phoneticPr fontId="1" type="noConversion"/>
  </si>
  <si>
    <r>
      <t>【加倍幸福獎】2000元 2名(拍照手-香)</t>
    </r>
    <r>
      <rPr>
        <sz val="12"/>
        <color theme="8"/>
        <rFont val="微軟正黑體"/>
        <family val="2"/>
        <charset val="136"/>
      </rPr>
      <t>(頒獎音樂)</t>
    </r>
    <phoneticPr fontId="1" type="noConversion"/>
  </si>
  <si>
    <r>
      <t>【最大幸運星】3000元 1名(拍照手-香)</t>
    </r>
    <r>
      <rPr>
        <sz val="12"/>
        <color theme="8"/>
        <rFont val="微軟正黑體"/>
        <family val="2"/>
        <charset val="136"/>
      </rPr>
      <t>(頒獎音樂)</t>
    </r>
    <phoneticPr fontId="1" type="noConversion"/>
  </si>
  <si>
    <r>
      <t>【三獎｜幸福三重奏】1000 元 ×3 人｜有請</t>
    </r>
    <r>
      <rPr>
        <sz val="12"/>
        <color theme="5"/>
        <rFont val="微軟正黑體"/>
        <family val="2"/>
        <charset val="136"/>
      </rPr>
      <t>敏生</t>
    </r>
    <r>
      <rPr>
        <sz val="12"/>
        <rFont val="微軟正黑體"/>
        <family val="2"/>
        <charset val="136"/>
      </rPr>
      <t xml:space="preserve">哥幫忙抽出
</t>
    </r>
    <r>
      <rPr>
        <sz val="12"/>
        <color rgb="FF009900"/>
        <rFont val="微軟正黑體"/>
        <family val="2"/>
        <charset val="136"/>
      </rPr>
      <t>敏生哥請留步跟中獎人一起合照</t>
    </r>
    <phoneticPr fontId="1" type="noConversion"/>
  </si>
  <si>
    <r>
      <t>【歡樂小確幸獎】500 元 ×10 人｜有請</t>
    </r>
    <r>
      <rPr>
        <sz val="12"/>
        <color theme="5"/>
        <rFont val="微軟正黑體"/>
        <family val="2"/>
        <charset val="136"/>
      </rPr>
      <t>敏生</t>
    </r>
    <r>
      <rPr>
        <sz val="12"/>
        <rFont val="微軟正黑體"/>
        <family val="2"/>
        <charset val="136"/>
      </rPr>
      <t xml:space="preserve">哥幫忙抽出 ( 5 人一組 x 2 抽選並上台)
</t>
    </r>
    <r>
      <rPr>
        <sz val="12"/>
        <color rgb="FF009900"/>
        <rFont val="微軟正黑體"/>
        <family val="2"/>
        <charset val="136"/>
      </rPr>
      <t>敏生哥請留步跟中獎人一起合照</t>
    </r>
    <phoneticPr fontId="1" type="noConversion"/>
  </si>
  <si>
    <r>
      <t>【幸運迷你獎】200 元 ×25 人｜此獎項人數較多，請各位配合，這裡有請</t>
    </r>
    <r>
      <rPr>
        <sz val="12"/>
        <color theme="5"/>
        <rFont val="微軟正黑體"/>
        <family val="2"/>
        <charset val="136"/>
      </rPr>
      <t>朝信</t>
    </r>
    <r>
      <rPr>
        <sz val="12"/>
        <color theme="1"/>
        <rFont val="微軟正黑體"/>
        <family val="2"/>
        <charset val="136"/>
      </rPr>
      <t xml:space="preserve">哥幫忙抽出 (建議 5 人一組 x 5 抽選並上台)
</t>
    </r>
    <r>
      <rPr>
        <sz val="12"/>
        <color rgb="FF009900"/>
        <rFont val="微軟正黑體"/>
        <family val="2"/>
        <charset val="136"/>
      </rPr>
      <t>朝信請留步跟中獎人一起合照</t>
    </r>
    <phoneticPr fontId="1" type="noConversion"/>
  </si>
  <si>
    <r>
      <t>【二獎｜加倍幸福獎】2000 元 ×2 人｜有請</t>
    </r>
    <r>
      <rPr>
        <sz val="12"/>
        <color theme="5"/>
        <rFont val="微軟正黑體"/>
        <family val="2"/>
        <charset val="136"/>
      </rPr>
      <t>啟勳</t>
    </r>
    <r>
      <rPr>
        <sz val="12"/>
        <rFont val="微軟正黑體"/>
        <family val="2"/>
        <charset val="136"/>
      </rPr>
      <t xml:space="preserve">哥幫忙抽出
</t>
    </r>
    <r>
      <rPr>
        <sz val="12"/>
        <color rgb="FF009900"/>
        <rFont val="微軟正黑體"/>
        <family val="2"/>
        <charset val="136"/>
      </rPr>
      <t>啟勳哥請留步跟中獎人一起合照</t>
    </r>
    <phoneticPr fontId="1" type="noConversion"/>
  </si>
  <si>
    <r>
      <t>【年度頭獎｜最大幸運星】3000 元 ×1 人｜大家最期待的3000元大獎，我們有請</t>
    </r>
    <r>
      <rPr>
        <b/>
        <sz val="12"/>
        <rFont val="微軟正黑體"/>
        <family val="2"/>
        <charset val="136"/>
      </rPr>
      <t>壓軸的</t>
    </r>
    <r>
      <rPr>
        <sz val="12"/>
        <color theme="5"/>
        <rFont val="微軟正黑體"/>
        <family val="2"/>
        <charset val="136"/>
      </rPr>
      <t>聰生</t>
    </r>
    <r>
      <rPr>
        <sz val="12"/>
        <rFont val="微軟正黑體"/>
        <family val="2"/>
        <charset val="136"/>
      </rPr>
      <t xml:space="preserve">哥幫忙抽出喔
</t>
    </r>
    <r>
      <rPr>
        <sz val="12"/>
        <color rgb="FF009900"/>
        <rFont val="微軟正黑體"/>
        <family val="2"/>
        <charset val="136"/>
      </rPr>
      <t>聰生哥請留步跟中獎人一起合照</t>
    </r>
    <phoneticPr fontId="1" type="noConversion"/>
  </si>
  <si>
    <r>
      <t xml:space="preserve">【饗宴獎】禮券 1000 元 × 5+7 人｜大家以為結束了嗎? 我們有請聰生哥留步，幫忙抽出加碼的漢來、響響禮卷
</t>
    </r>
    <r>
      <rPr>
        <sz val="12"/>
        <color rgb="FF009900"/>
        <rFont val="微軟正黑體"/>
        <family val="2"/>
        <charset val="136"/>
      </rPr>
      <t>聰生哥請留步跟中獎人一起合照</t>
    </r>
    <phoneticPr fontId="1" type="noConversion"/>
  </si>
  <si>
    <t>3:20-3:40(20)</t>
  </si>
  <si>
    <t>3:20-3:40(20)</t>
    <phoneticPr fontId="1" type="noConversion"/>
  </si>
  <si>
    <t>3:40-3:50(10)</t>
    <phoneticPr fontId="1" type="noConversion"/>
  </si>
  <si>
    <t>3:50-3:58(8)</t>
  </si>
  <si>
    <t>3:50-3:58(8)</t>
    <phoneticPr fontId="1" type="noConversion"/>
  </si>
  <si>
    <t>3:58-4:06(8)</t>
  </si>
  <si>
    <t>3:58-4:06(8)</t>
    <phoneticPr fontId="1" type="noConversion"/>
  </si>
  <si>
    <t>4:06-4:14(8)</t>
  </si>
  <si>
    <t>4:06-4:14(8)</t>
    <phoneticPr fontId="1" type="noConversion"/>
  </si>
  <si>
    <t>4:14-4:30(16)</t>
  </si>
  <si>
    <t>4:14-4:30(16)</t>
    <phoneticPr fontId="1" type="noConversion"/>
  </si>
  <si>
    <t>【饗宴獎】禮券 1000 元 × 5+7 人｜大家以為結束了嗎? 我們有請聰生哥留步，幫忙抽出加碼的漢來、響響禮卷
聰生哥請留步跟中獎人一起合照</t>
  </si>
  <si>
    <r>
      <t xml:space="preserve">【暖心收藏獎】包包 &amp; 娃娃 ×3 人｜有請啟勳哥幫忙抽出 / 若臨時超時，可壓縮或略過
</t>
    </r>
    <r>
      <rPr>
        <sz val="12"/>
        <color rgb="FF009900"/>
        <rFont val="微軟正黑體"/>
        <family val="2"/>
        <charset val="136"/>
      </rPr>
      <t>聰生哥請留步跟中獎人一起合照</t>
    </r>
    <phoneticPr fontId="1" type="noConversion"/>
  </si>
  <si>
    <r>
      <t>【饗宴獎】1000元禮卷  響響5名 / 漢來7名(拍照手-香)</t>
    </r>
    <r>
      <rPr>
        <sz val="12"/>
        <color theme="8"/>
        <rFont val="微軟正黑體"/>
        <family val="2"/>
        <charset val="136"/>
      </rPr>
      <t>(頒獎音樂)</t>
    </r>
    <phoneticPr fontId="1" type="noConversion"/>
  </si>
  <si>
    <r>
      <t>【暖心收藏獎】包包 &amp; 娃娃3名(拍照手-香)</t>
    </r>
    <r>
      <rPr>
        <sz val="12"/>
        <color theme="8"/>
        <rFont val="微軟正黑體"/>
        <family val="2"/>
        <charset val="136"/>
      </rPr>
      <t>(頒獎音樂)</t>
    </r>
    <phoneticPr fontId="1" type="noConversion"/>
  </si>
  <si>
    <t>4:30-4:35(5)</t>
  </si>
  <si>
    <t>4:30-4:35(5)</t>
    <phoneticPr fontId="1" type="noConversion"/>
  </si>
  <si>
    <r>
      <rPr>
        <sz val="12"/>
        <color rgb="FFFF0000"/>
        <rFont val="微軟正黑體"/>
        <family val="2"/>
        <charset val="136"/>
      </rPr>
      <t>【全體感謝 &amp; 收尾時間】主持人總結，請</t>
    </r>
    <r>
      <rPr>
        <sz val="12"/>
        <color rgb="FF009900"/>
        <rFont val="微軟正黑體"/>
        <family val="2"/>
        <charset val="136"/>
      </rPr>
      <t>中科廠</t>
    </r>
    <r>
      <rPr>
        <sz val="12"/>
        <color rgb="FFFF0000"/>
        <rFont val="微軟正黑體"/>
        <family val="2"/>
        <charset val="136"/>
      </rPr>
      <t>尚未領取伴手禮及全聯禮券的同仁，找各部門助理領取。</t>
    </r>
    <r>
      <rPr>
        <b/>
        <sz val="12"/>
        <color rgb="FF000000"/>
        <rFont val="微軟正黑體"/>
        <family val="2"/>
        <charset val="136"/>
      </rPr>
      <t xml:space="preserve">
</t>
    </r>
    <r>
      <rPr>
        <sz val="12"/>
        <color rgb="FF009900"/>
        <rFont val="微軟正黑體"/>
        <family val="2"/>
        <charset val="136"/>
      </rPr>
      <t>本次中科廠福委精心為大家準備的伴手禮是常溫的哈克大師紅茶太陽餅與鳳梨酥，禮輕情義重，希望大家會喜歡喔！</t>
    </r>
    <r>
      <rPr>
        <sz val="12"/>
        <color rgb="FF000000"/>
        <rFont val="微軟正黑體"/>
        <family val="2"/>
        <charset val="136"/>
      </rPr>
      <t xml:space="preserve">
</t>
    </r>
    <r>
      <rPr>
        <sz val="12"/>
        <color rgb="FF009900"/>
        <rFont val="微軟正黑體"/>
        <family val="2"/>
        <charset val="136"/>
      </rPr>
      <t>最後提醒各位~散場時請</t>
    </r>
    <r>
      <rPr>
        <sz val="12"/>
        <color rgb="FF000000"/>
        <rFont val="微軟正黑體"/>
        <family val="2"/>
        <charset val="136"/>
      </rPr>
      <t>記得帶走您的隨身物品</t>
    </r>
    <phoneticPr fontId="1" type="noConversion"/>
  </si>
  <si>
    <r>
      <rPr>
        <b/>
        <sz val="12"/>
        <color rgb="FF0000CC"/>
        <rFont val="微軟正黑體"/>
        <family val="2"/>
        <charset val="136"/>
      </rPr>
      <t>開場</t>
    </r>
    <r>
      <rPr>
        <b/>
        <sz val="12"/>
        <rFont val="微軟正黑體"/>
        <family val="2"/>
        <charset val="136"/>
      </rPr>
      <t>:</t>
    </r>
    <r>
      <rPr>
        <sz val="12"/>
        <rFont val="微軟正黑體"/>
        <family val="2"/>
        <charset val="136"/>
      </rPr>
      <t>大家好,我是今天的主持人-筱筑，吃完冬至湯圓，緊接著要開始今年2025的聖誕Party！福委會很用心的準備大餐，要讓各位同仁享受一下，讓我們一起渡過這美好的聖誕節！</t>
    </r>
    <phoneticPr fontId="1" type="noConversion"/>
  </si>
  <si>
    <t>品-確認各桌組長
蓉、秋、瑛確認隊伍的名單</t>
    <phoneticPr fontId="1" type="noConversion"/>
  </si>
  <si>
    <t>品&lt;暫定&gt;確認各桌組長
福委協助分組並拿登記各組員工號</t>
    <phoneticPr fontId="1" type="noConversion"/>
  </si>
  <si>
    <t>確認各桌的組別</t>
    <phoneticPr fontId="1" type="noConversion"/>
  </si>
  <si>
    <t>3:10~3:20</t>
    <phoneticPr fontId="1" type="noConversion"/>
  </si>
  <si>
    <t>【幸運迷你獎】</t>
    <phoneticPr fontId="1" type="noConversion"/>
  </si>
  <si>
    <t>【歡樂小確幸獎】</t>
    <phoneticPr fontId="1" type="noConversion"/>
  </si>
  <si>
    <t>【幸福三重奏】</t>
    <phoneticPr fontId="1" type="noConversion"/>
  </si>
  <si>
    <t>【加倍幸福獎】</t>
    <phoneticPr fontId="1" type="noConversion"/>
  </si>
  <si>
    <t>【最大幸運星】</t>
    <phoneticPr fontId="1" type="noConversion"/>
  </si>
  <si>
    <t>【饗宴獎】</t>
    <phoneticPr fontId="1" type="noConversion"/>
  </si>
  <si>
    <t>【暖心收藏獎】</t>
    <phoneticPr fontId="1" type="noConversion"/>
  </si>
  <si>
    <t>4:30-4:45(5)</t>
    <phoneticPr fontId="1" type="noConversion"/>
  </si>
  <si>
    <t>【幸運迷你獎】200 元 ×25 人｜此獎項人數較多，請各位配合，這裡有請朝信哥幫忙抽出 (建議 5 人一組 x 5 抽選並上台)
朝信請留步跟中獎人一起合照</t>
  </si>
  <si>
    <t>【歡樂小確幸獎】500 元 ×10 人｜有請敏生哥幫忙抽出 ( 5 人一組 x 2 抽選並上台)
敏生哥請留步跟中獎人一起合照</t>
  </si>
  <si>
    <t>【三獎｜幸福三重奏】1000 元 ×3 人｜有請敏生哥幫忙抽出
敏生哥請留步跟中獎人一起合照</t>
  </si>
  <si>
    <t>【二獎｜加倍幸福獎】2000 元 ×2 人｜有請啟勳哥幫忙抽出
啟勳哥請留步跟中獎人一起合照</t>
  </si>
  <si>
    <t>【年度頭獎｜最大幸運星】3000 元 ×1 人｜大家最期待的3000元大獎，我們有請壓軸的聰生哥幫忙抽出喔
聰生哥請留步跟中獎人一起合照</t>
  </si>
  <si>
    <t>【暖心收藏獎】包包 &amp; 娃娃 ×3 人｜有請啟勳哥幫忙抽出 / 若臨時超時，可壓縮或略過
聰生哥請留步跟中獎人一起合照</t>
  </si>
  <si>
    <t>摸彩籤筒、摸彩獎金*12、獎金簽收表</t>
    <phoneticPr fontId="1" type="noConversion"/>
  </si>
  <si>
    <t>摸彩籤筒、摸彩獎金*3、獎金簽收表</t>
    <phoneticPr fontId="1" type="noConversion"/>
  </si>
  <si>
    <t>摸彩籤筒、摸彩獎金*10、獎金簽收表</t>
    <phoneticPr fontId="1" type="noConversion"/>
  </si>
  <si>
    <t>摸彩籤筒、摸彩獎金*25、獎金簽收表</t>
    <phoneticPr fontId="1" type="noConversion"/>
  </si>
  <si>
    <t>領獎人找瑛、秋簽收領獎</t>
    <phoneticPr fontId="1" type="noConversion"/>
  </si>
  <si>
    <t>先請同仁分組，開始進行 buffet 時會確認各組長</t>
    <phoneticPr fontId="1" type="noConversion"/>
  </si>
  <si>
    <t>禮卷</t>
    <phoneticPr fontId="1" type="noConversion"/>
  </si>
  <si>
    <t>禮卷確認數量，應提前送達</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</si>
</sst>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
  </numFmts>
  <fonts count="26" x14ac:knownFonts="1">
    <font>
      <sz val="12"/>
      <color theme="1"/>
      <name val="新細明體"/>
      <family val="2"/>
      <charset val="136"/>
      <scheme val="minor"/>
    </font>
    <font>
      <sz val="9"/>
      <name val="新細明體"/>
      <family val="2"/>
      <charset val="136"/>
      <scheme val="minor"/>
    </font>
    <font>
      <sz val="12"/>
      <color theme="1"/>
      <name val="微軟正黑體"/>
      <family val="2"/>
      <charset val="136"/>
    </font>
    <font>
      <b/>
      <sz val="12"/>
      <color theme="1"/>
      <name val="微軟正黑體"/>
      <family val="2"/>
      <charset val="136"/>
    </font>
    <font>
      <sz val="14"/>
      <color theme="1"/>
      <name val="微軟正黑體"/>
      <family val="2"/>
      <charset val="136"/>
    </font>
    <font>
      <b/>
      <sz val="14"/>
      <color theme="1"/>
      <name val="微軟正黑體"/>
      <family val="2"/>
      <charset val="136"/>
    </font>
    <font>
      <sz val="12"/>
      <name val="微軟正黑體"/>
      <family val="2"/>
      <charset val="136"/>
    </font>
    <font>
      <b/>
      <sz val="12"/>
      <color rgb="FF0000CC"/>
      <name val="微軟正黑體"/>
      <family val="2"/>
      <charset val="136"/>
    </font>
    <font>
      <sz val="12"/>
      <color rgb="FF0000CC"/>
      <name val="微軟正黑體"/>
      <family val="2"/>
      <charset val="136"/>
    </font>
    <font>
      <b/>
      <sz val="12"/>
      <name val="微軟正黑體"/>
      <family val="2"/>
      <charset val="136"/>
    </font>
    <font>
      <b/>
      <sz val="12"/>
      <color rgb="FFFFFFFF"/>
      <name val="微軟正黑體"/>
      <family val="2"/>
      <charset val="136"/>
    </font>
    <font>
      <sz val="12"/>
      <color rgb="FF000000"/>
      <name val="微軟正黑體"/>
      <family val="2"/>
      <charset val="136"/>
    </font>
    <font>
      <sz val="12"/>
      <color theme="0"/>
      <name val="微軟正黑體"/>
      <family val="2"/>
      <charset val="136"/>
    </font>
    <font>
      <sz val="12"/>
      <color rgb="FFFF0000"/>
      <name val="微軟正黑體"/>
      <family val="2"/>
      <charset val="136"/>
    </font>
    <font>
      <b/>
      <sz val="14"/>
      <name val="微軟正黑體"/>
      <family val="2"/>
      <charset val="136"/>
    </font>
    <font>
      <sz val="14"/>
      <name val="微軟正黑體"/>
      <family val="2"/>
      <charset val="136"/>
    </font>
    <font>
      <sz val="12"/>
      <color rgb="FFFF0000"/>
      <name val="新細明體"/>
      <family val="2"/>
      <charset val="136"/>
      <scheme val="minor"/>
    </font>
    <font>
      <sz val="14"/>
      <color rgb="FFFF0000"/>
      <name val="微軟正黑體"/>
      <family val="2"/>
      <charset val="136"/>
    </font>
    <font>
      <strike/>
      <sz val="12"/>
      <color rgb="FFFF0000"/>
      <name val="新細明體"/>
      <family val="2"/>
      <charset val="136"/>
      <scheme val="minor"/>
    </font>
    <font>
      <sz val="12"/>
      <color theme="8"/>
      <name val="微軟正黑體"/>
      <family val="2"/>
      <charset val="136"/>
    </font>
    <font>
      <b/>
      <sz val="12"/>
      <color rgb="FFFF0000"/>
      <name val="微軟正黑體"/>
      <family val="2"/>
      <charset val="136"/>
    </font>
    <font>
      <sz val="12"/>
      <color rgb="FF009900"/>
      <name val="微軟正黑體"/>
      <family val="2"/>
      <charset val="136"/>
    </font>
    <font>
      <b/>
      <sz val="12"/>
      <color rgb="FF009900"/>
      <name val="微軟正黑體"/>
      <family val="2"/>
      <charset val="136"/>
    </font>
    <font>
      <b/>
      <sz val="12"/>
      <color rgb="FF000000"/>
      <name val="微軟正黑體"/>
      <family val="2"/>
      <charset val="136"/>
    </font>
    <font>
      <sz val="14"/>
      <color rgb="FF000000"/>
      <name val="微軟正黑體"/>
      <family val="2"/>
      <charset val="136"/>
    </font>
    <font>
      <sz val="12"/>
      <color theme="5"/>
      <name val="微軟正黑體"/>
      <family val="2"/>
      <charset val="136"/>
    </font>
  </fonts>
  <fills count="10">
    <fill>
      <patternFill patternType="none"/>
    </fill>
    <fill>
      <patternFill patternType="gray125"/>
    </fill>
    <fill>
      <patternFill patternType="solid">
        <fgColor theme="7" tint="0.39997558519241921"/>
        <bgColor indexed="64"/>
      </patternFill>
    </fill>
    <fill>
      <patternFill patternType="solid">
        <fgColor rgb="FF4F81BD"/>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5"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alignment vertical="center"/>
    </xf>
  </cellStyleXfs>
  <cellXfs count="106">
    <xf numFmtId="0" fontId="0" fillId="0" borderId="0" xfId="0">
      <alignmen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readingOrder="1"/>
    </xf>
    <xf numFmtId="0" fontId="3" fillId="0" borderId="1" xfId="0" applyFont="1" applyBorder="1" applyAlignment="1">
      <alignment horizontal="left" vertical="center" wrapText="1" readingOrder="1"/>
    </xf>
    <xf numFmtId="0" fontId="4" fillId="0" borderId="1" xfId="0" applyFont="1" applyBorder="1">
      <alignment vertical="center"/>
    </xf>
    <xf numFmtId="0" fontId="3" fillId="2" borderId="1" xfId="0" applyFont="1" applyFill="1" applyBorder="1" applyAlignment="1">
      <alignment horizontal="center" vertical="center" wrapText="1" readingOrder="1"/>
    </xf>
    <xf numFmtId="0" fontId="3" fillId="2" borderId="1" xfId="0" applyFont="1" applyFill="1" applyBorder="1" applyAlignment="1">
      <alignment horizontal="left" vertical="center" wrapText="1" readingOrder="1"/>
    </xf>
    <xf numFmtId="0" fontId="0" fillId="0" borderId="1" xfId="0" applyBorder="1">
      <alignment vertical="center"/>
    </xf>
    <xf numFmtId="0" fontId="2" fillId="0" borderId="1" xfId="0" applyFont="1" applyBorder="1">
      <alignment vertical="center"/>
    </xf>
    <xf numFmtId="0" fontId="4" fillId="0" borderId="1" xfId="0" applyFont="1" applyBorder="1" applyAlignment="1">
      <alignment horizontal="center" vertical="center"/>
    </xf>
    <xf numFmtId="0" fontId="5" fillId="0" borderId="1" xfId="0" applyFont="1" applyBorder="1" applyAlignment="1">
      <alignment horizontal="right" vertical="center"/>
    </xf>
    <xf numFmtId="0" fontId="5" fillId="0" borderId="1" xfId="0" applyFont="1" applyBorder="1">
      <alignment vertical="center"/>
    </xf>
    <xf numFmtId="0" fontId="2" fillId="0" borderId="0" xfId="0" applyFont="1">
      <alignment vertical="center"/>
    </xf>
    <xf numFmtId="0" fontId="2" fillId="0" borderId="1" xfId="0" applyFont="1" applyBorder="1" applyAlignment="1">
      <alignment horizontal="left" vertical="center" readingOrder="1"/>
    </xf>
    <xf numFmtId="0" fontId="6" fillId="0" borderId="1" xfId="0" applyFont="1" applyBorder="1" applyAlignment="1">
      <alignment horizontal="left" vertical="center" wrapText="1" readingOrder="1"/>
    </xf>
    <xf numFmtId="20" fontId="12" fillId="0" borderId="0" xfId="0" applyNumberFormat="1" applyFont="1" applyAlignment="1">
      <alignment horizontal="left" vertical="center" wrapText="1" readingOrder="1"/>
    </xf>
    <xf numFmtId="0" fontId="11" fillId="0" borderId="0" xfId="0" applyFont="1" applyAlignment="1">
      <alignment horizontal="left" vertical="center" wrapText="1" readingOrder="1"/>
    </xf>
    <xf numFmtId="0" fontId="6" fillId="0" borderId="0" xfId="0" applyFont="1" applyAlignment="1">
      <alignment horizontal="left" vertical="center" wrapText="1" readingOrder="1"/>
    </xf>
    <xf numFmtId="0" fontId="2" fillId="0" borderId="0" xfId="0" applyFont="1" applyAlignment="1">
      <alignment horizontal="left" vertical="top" wrapText="1" readingOrder="1"/>
    </xf>
    <xf numFmtId="0" fontId="2" fillId="0" borderId="0" xfId="0" applyFont="1" applyAlignment="1">
      <alignment horizontal="left" vertical="center" readingOrder="1"/>
    </xf>
    <xf numFmtId="0" fontId="2" fillId="0" borderId="0" xfId="0" applyFont="1" applyAlignment="1">
      <alignment horizontal="left" vertical="center" wrapText="1" readingOrder="1"/>
    </xf>
    <xf numFmtId="0" fontId="12" fillId="0" borderId="0" xfId="0" applyFont="1" applyAlignment="1">
      <alignment horizontal="left" vertical="center" wrapText="1" readingOrder="1"/>
    </xf>
    <xf numFmtId="20" fontId="12" fillId="5" borderId="1" xfId="0" applyNumberFormat="1" applyFont="1" applyFill="1" applyBorder="1" applyAlignment="1">
      <alignment horizontal="left" vertical="center" wrapText="1"/>
    </xf>
    <xf numFmtId="0" fontId="12" fillId="5" borderId="1" xfId="0" applyFont="1" applyFill="1" applyBorder="1" applyAlignment="1">
      <alignment horizontal="left" vertical="center" readingOrder="1"/>
    </xf>
    <xf numFmtId="0" fontId="12" fillId="5" borderId="1" xfId="0" applyFont="1" applyFill="1" applyBorder="1" applyAlignment="1">
      <alignment horizontal="left" vertical="center" wrapText="1"/>
    </xf>
    <xf numFmtId="20" fontId="12" fillId="5" borderId="1" xfId="0" applyNumberFormat="1" applyFont="1" applyFill="1" applyBorder="1" applyAlignment="1">
      <alignment horizontal="left" vertical="center" readingOrder="1"/>
    </xf>
    <xf numFmtId="0" fontId="2" fillId="7" borderId="1" xfId="0" applyFont="1" applyFill="1" applyBorder="1" applyAlignment="1">
      <alignment horizontal="left" vertical="center" readingOrder="1"/>
    </xf>
    <xf numFmtId="0" fontId="2" fillId="7" borderId="1" xfId="0" applyFont="1" applyFill="1" applyBorder="1" applyAlignment="1">
      <alignment horizontal="left" vertical="center" wrapText="1" readingOrder="1"/>
    </xf>
    <xf numFmtId="0" fontId="6" fillId="7" borderId="1" xfId="0" applyFont="1" applyFill="1" applyBorder="1" applyAlignment="1">
      <alignment horizontal="left" vertical="center" wrapText="1" readingOrder="1"/>
    </xf>
    <xf numFmtId="0" fontId="11" fillId="7" borderId="1" xfId="0" applyFont="1" applyFill="1" applyBorder="1" applyAlignment="1">
      <alignment horizontal="left" vertical="center" wrapText="1" readingOrder="1"/>
    </xf>
    <xf numFmtId="0" fontId="13" fillId="0" borderId="1" xfId="0" applyFont="1" applyBorder="1" applyAlignment="1">
      <alignment horizontal="left" vertical="top" wrapText="1" readingOrder="1"/>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5" fillId="0" borderId="1" xfId="0" applyFont="1" applyBorder="1">
      <alignment vertical="center"/>
    </xf>
    <xf numFmtId="0" fontId="4" fillId="8" borderId="1" xfId="0" applyFont="1" applyFill="1" applyBorder="1" applyAlignment="1">
      <alignment horizontal="center" vertical="center"/>
    </xf>
    <xf numFmtId="0" fontId="6" fillId="0" borderId="1" xfId="0" applyFont="1" applyBorder="1" applyAlignment="1">
      <alignment vertical="center" wrapText="1"/>
    </xf>
    <xf numFmtId="0" fontId="13" fillId="0" borderId="1" xfId="0" applyFont="1" applyBorder="1" applyAlignment="1">
      <alignment vertical="center" wrapText="1"/>
    </xf>
    <xf numFmtId="0" fontId="2" fillId="0" borderId="0" xfId="0" applyFont="1" applyAlignment="1">
      <alignment horizontal="center" vertical="center"/>
    </xf>
    <xf numFmtId="0" fontId="2" fillId="0" borderId="1" xfId="0" applyFont="1" applyBorder="1" applyAlignment="1">
      <alignment horizontal="center" vertical="center"/>
    </xf>
    <xf numFmtId="0" fontId="16" fillId="0" borderId="0" xfId="0" applyFont="1">
      <alignment vertical="center"/>
    </xf>
    <xf numFmtId="0" fontId="6" fillId="0" borderId="0" xfId="0" applyFont="1">
      <alignment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5" fillId="0" borderId="1" xfId="0" applyFont="1" applyBorder="1" applyAlignment="1">
      <alignment horizontal="center" vertical="center"/>
    </xf>
    <xf numFmtId="0" fontId="4" fillId="0" borderId="0" xfId="0" applyFont="1" applyAlignment="1">
      <alignment horizontal="center" vertical="center"/>
    </xf>
    <xf numFmtId="0" fontId="4" fillId="0" borderId="0" xfId="0" applyFont="1">
      <alignment vertical="center"/>
    </xf>
    <xf numFmtId="0" fontId="5" fillId="0" borderId="0" xfId="0" applyFont="1" applyAlignment="1">
      <alignment horizontal="center" vertical="center"/>
    </xf>
    <xf numFmtId="49" fontId="5" fillId="0" borderId="1"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0" xfId="0" applyNumberFormat="1" applyFont="1" applyAlignment="1">
      <alignment horizontal="center" vertical="center"/>
    </xf>
    <xf numFmtId="0" fontId="5" fillId="0" borderId="1" xfId="0" applyFont="1" applyBorder="1" applyAlignment="1">
      <alignment horizontal="center" vertical="center" wrapText="1"/>
    </xf>
    <xf numFmtId="49" fontId="4" fillId="4" borderId="1" xfId="0" applyNumberFormat="1" applyFont="1" applyFill="1" applyBorder="1" applyAlignment="1">
      <alignment horizontal="center" vertical="center"/>
    </xf>
    <xf numFmtId="0" fontId="4" fillId="4" borderId="1" xfId="0" applyFont="1" applyFill="1" applyBorder="1">
      <alignment vertical="center"/>
    </xf>
    <xf numFmtId="0" fontId="4" fillId="4" borderId="1" xfId="0" applyFont="1" applyFill="1" applyBorder="1" applyAlignment="1">
      <alignment horizontal="center" vertical="center"/>
    </xf>
    <xf numFmtId="49" fontId="4" fillId="7" borderId="1" xfId="0" applyNumberFormat="1" applyFont="1" applyFill="1" applyBorder="1" applyAlignment="1">
      <alignment horizontal="center" vertical="center"/>
    </xf>
    <xf numFmtId="0" fontId="4" fillId="7" borderId="1" xfId="0" applyFont="1" applyFill="1" applyBorder="1">
      <alignment vertical="center"/>
    </xf>
    <xf numFmtId="0" fontId="4" fillId="7" borderId="1" xfId="0" applyFont="1" applyFill="1" applyBorder="1" applyAlignment="1">
      <alignment horizontal="center" vertical="center"/>
    </xf>
    <xf numFmtId="0" fontId="17" fillId="7" borderId="1" xfId="0" applyFont="1" applyFill="1" applyBorder="1" applyAlignment="1">
      <alignment horizontal="center" vertical="center"/>
    </xf>
    <xf numFmtId="49" fontId="4" fillId="9" borderId="1" xfId="0" applyNumberFormat="1" applyFont="1" applyFill="1" applyBorder="1" applyAlignment="1">
      <alignment horizontal="center" vertical="center"/>
    </xf>
    <xf numFmtId="0" fontId="4" fillId="9" borderId="1" xfId="0" applyFont="1" applyFill="1" applyBorder="1">
      <alignment vertical="center"/>
    </xf>
    <xf numFmtId="0" fontId="4" fillId="9" borderId="1" xfId="0" applyFont="1" applyFill="1" applyBorder="1" applyAlignment="1">
      <alignment horizontal="center" vertical="center"/>
    </xf>
    <xf numFmtId="0" fontId="15" fillId="4" borderId="1" xfId="0" applyFont="1" applyFill="1" applyBorder="1" applyAlignment="1">
      <alignment horizontal="center" vertical="center"/>
    </xf>
    <xf numFmtId="0" fontId="17" fillId="7" borderId="1" xfId="0" applyFont="1" applyFill="1" applyBorder="1">
      <alignment vertical="center"/>
    </xf>
    <xf numFmtId="176" fontId="18" fillId="0" borderId="0" xfId="0" applyNumberFormat="1" applyFont="1">
      <alignment vertical="center"/>
    </xf>
    <xf numFmtId="176" fontId="16" fillId="0" borderId="0" xfId="0" applyNumberFormat="1" applyFont="1">
      <alignment vertical="center"/>
    </xf>
    <xf numFmtId="20" fontId="6" fillId="6" borderId="1" xfId="0" applyNumberFormat="1" applyFont="1" applyFill="1" applyBorder="1" applyAlignment="1">
      <alignment horizontal="center" vertical="center" wrapText="1"/>
    </xf>
    <xf numFmtId="176" fontId="13" fillId="6" borderId="1" xfId="0" applyNumberFormat="1" applyFont="1" applyFill="1" applyBorder="1" applyAlignment="1">
      <alignment horizontal="center" vertical="center" wrapText="1"/>
    </xf>
    <xf numFmtId="0" fontId="2" fillId="6" borderId="1" xfId="0" applyFont="1" applyFill="1" applyBorder="1" applyAlignment="1">
      <alignment horizontal="center" vertical="center" wrapText="1"/>
    </xf>
    <xf numFmtId="20" fontId="2" fillId="6" borderId="1" xfId="0" applyNumberFormat="1" applyFont="1" applyFill="1" applyBorder="1" applyAlignment="1">
      <alignment horizontal="center" vertical="center" wrapText="1"/>
    </xf>
    <xf numFmtId="0" fontId="17" fillId="4" borderId="1" xfId="0" applyFont="1" applyFill="1" applyBorder="1" applyAlignment="1">
      <alignment horizontal="center" vertical="center"/>
    </xf>
    <xf numFmtId="0" fontId="15" fillId="9" borderId="1" xfId="0" applyFont="1" applyFill="1" applyBorder="1" applyAlignment="1">
      <alignment horizontal="center" vertical="center"/>
    </xf>
    <xf numFmtId="49" fontId="15" fillId="4" borderId="1" xfId="0" applyNumberFormat="1" applyFont="1" applyFill="1" applyBorder="1" applyAlignment="1">
      <alignment horizontal="center" vertical="center"/>
    </xf>
    <xf numFmtId="0" fontId="15" fillId="4" borderId="1" xfId="0" applyFont="1" applyFill="1" applyBorder="1">
      <alignment vertical="center"/>
    </xf>
    <xf numFmtId="49" fontId="15" fillId="7" borderId="1" xfId="0" applyNumberFormat="1" applyFont="1" applyFill="1" applyBorder="1" applyAlignment="1">
      <alignment horizontal="center" vertical="center"/>
    </xf>
    <xf numFmtId="0" fontId="15" fillId="7" borderId="1" xfId="0" applyFont="1" applyFill="1" applyBorder="1">
      <alignment vertical="center"/>
    </xf>
    <xf numFmtId="0" fontId="15" fillId="7" borderId="1" xfId="0" applyFont="1" applyFill="1" applyBorder="1" applyAlignment="1">
      <alignment horizontal="center" vertical="center"/>
    </xf>
    <xf numFmtId="0" fontId="19" fillId="0" borderId="1" xfId="0" applyFont="1" applyBorder="1" applyAlignment="1">
      <alignment horizontal="left" vertical="center" wrapText="1" readingOrder="1"/>
    </xf>
    <xf numFmtId="0" fontId="19" fillId="7" borderId="1" xfId="0" applyFont="1" applyFill="1" applyBorder="1" applyAlignment="1">
      <alignment horizontal="left" vertical="center" readingOrder="1"/>
    </xf>
    <xf numFmtId="0" fontId="19" fillId="0" borderId="1" xfId="0" applyFont="1" applyBorder="1" applyAlignment="1">
      <alignment vertical="center" wrapText="1"/>
    </xf>
    <xf numFmtId="0" fontId="15" fillId="0" borderId="0" xfId="0" applyFont="1">
      <alignment vertical="center"/>
    </xf>
    <xf numFmtId="0" fontId="11" fillId="0" borderId="1" xfId="0" applyFont="1" applyBorder="1" applyAlignment="1">
      <alignment horizontal="left" vertical="center" wrapText="1" readingOrder="1"/>
    </xf>
    <xf numFmtId="0" fontId="10" fillId="3" borderId="1" xfId="0" applyFont="1" applyFill="1" applyBorder="1" applyAlignment="1">
      <alignment horizontal="left" vertical="center" wrapText="1" readingOrder="1"/>
    </xf>
    <xf numFmtId="20" fontId="10" fillId="5" borderId="1" xfId="0" applyNumberFormat="1" applyFont="1" applyFill="1" applyBorder="1" applyAlignment="1">
      <alignment horizontal="left" vertical="center" wrapText="1" readingOrder="1"/>
    </xf>
    <xf numFmtId="0" fontId="21" fillId="0" borderId="1" xfId="0" applyFont="1" applyBorder="1" applyAlignment="1">
      <alignment vertical="center" wrapText="1"/>
    </xf>
    <xf numFmtId="0" fontId="3" fillId="0" borderId="1" xfId="0" applyFont="1" applyBorder="1" applyAlignment="1">
      <alignment vertical="center" wrapText="1"/>
    </xf>
    <xf numFmtId="0" fontId="3" fillId="0" borderId="1" xfId="0" applyFont="1" applyBorder="1">
      <alignment vertical="center"/>
    </xf>
    <xf numFmtId="0" fontId="9" fillId="0" borderId="1" xfId="0" applyFont="1" applyBorder="1" applyAlignment="1">
      <alignment vertical="center" wrapText="1"/>
    </xf>
    <xf numFmtId="0" fontId="15" fillId="0" borderId="1" xfId="0" applyFont="1" applyBorder="1" applyAlignment="1">
      <alignment horizontal="right" vertical="center"/>
    </xf>
    <xf numFmtId="0" fontId="4" fillId="0" borderId="1" xfId="0" applyFont="1" applyBorder="1" applyAlignment="1">
      <alignment horizontal="right" vertical="center"/>
    </xf>
    <xf numFmtId="0" fontId="24" fillId="0" borderId="1" xfId="0" applyFont="1" applyBorder="1" applyAlignment="1">
      <alignment horizontal="right" vertical="center"/>
    </xf>
    <xf numFmtId="0" fontId="15" fillId="0" borderId="1" xfId="0" applyFont="1" applyBorder="1" applyAlignment="1">
      <alignment horizontal="left" vertical="center"/>
    </xf>
    <xf numFmtId="0" fontId="4" fillId="0" borderId="4" xfId="0" applyFont="1" applyBorder="1">
      <alignment vertical="center"/>
    </xf>
    <xf numFmtId="0" fontId="2" fillId="6" borderId="1" xfId="0" applyFont="1" applyFill="1" applyBorder="1" applyAlignment="1">
      <alignment horizontal="center" vertical="center" wrapText="1"/>
    </xf>
    <xf numFmtId="0" fontId="2" fillId="6" borderId="2" xfId="0" applyFont="1" applyFill="1" applyBorder="1" applyAlignment="1">
      <alignment horizontal="center" vertical="center" wrapText="1" readingOrder="1"/>
    </xf>
    <xf numFmtId="0" fontId="2" fillId="6" borderId="3" xfId="0" applyFont="1" applyFill="1" applyBorder="1" applyAlignment="1">
      <alignment horizontal="center" vertical="center" wrapText="1" readingOrder="1"/>
    </xf>
    <xf numFmtId="0" fontId="3" fillId="2" borderId="2" xfId="0" applyFont="1" applyFill="1" applyBorder="1" applyAlignment="1">
      <alignment horizontal="center" vertical="center" wrapText="1" readingOrder="1"/>
    </xf>
    <xf numFmtId="0" fontId="3" fillId="2" borderId="3" xfId="0" applyFont="1" applyFill="1" applyBorder="1" applyAlignment="1">
      <alignment horizontal="center" vertical="center" wrapText="1" readingOrder="1"/>
    </xf>
    <xf numFmtId="0" fontId="10" fillId="5" borderId="1" xfId="0" applyFont="1" applyFill="1" applyBorder="1" applyAlignment="1">
      <alignment horizontal="left" vertical="center" wrapText="1" readingOrder="1"/>
    </xf>
    <xf numFmtId="0" fontId="11" fillId="0" borderId="1" xfId="0" applyFont="1" applyBorder="1" applyAlignment="1">
      <alignment horizontal="left" vertical="center" wrapText="1" readingOrder="1"/>
    </xf>
    <xf numFmtId="0" fontId="10" fillId="3" borderId="1" xfId="0" applyFont="1" applyFill="1" applyBorder="1" applyAlignment="1">
      <alignment horizontal="left" vertical="center" wrapText="1" readingOrder="1"/>
    </xf>
    <xf numFmtId="20" fontId="10" fillId="5" borderId="1" xfId="0" applyNumberFormat="1" applyFont="1" applyFill="1" applyBorder="1" applyAlignment="1">
      <alignment horizontal="left" vertical="center" wrapText="1" readingOrder="1"/>
    </xf>
    <xf numFmtId="0" fontId="6" fillId="0" borderId="0" xfId="0" applyFont="1" applyAlignment="1">
      <alignment horizontal="left" vertical="center" wrapText="1"/>
    </xf>
    <xf numFmtId="0" fontId="2" fillId="0" borderId="0" xfId="0" applyFont="1" applyAlignment="1">
      <alignment horizontal="left" vertical="center"/>
    </xf>
    <xf numFmtId="0" fontId="2" fillId="0" borderId="1" xfId="0" applyFont="1" applyBorder="1" applyAlignment="1">
      <alignment horizontal="center" vertical="center"/>
    </xf>
    <xf numFmtId="176" fontId="2" fillId="6" borderId="1" xfId="0" applyNumberFormat="1" applyFont="1" applyFill="1" applyBorder="1" applyAlignment="1">
      <alignment horizontal="center" vertical="center" wrapText="1"/>
    </xf>
    <xf numFmtId="0" fontId="0" fillId="0" borderId="0" xfId="0" applyFo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editAs="oneCell">
    <xdr:from>
      <xdr:col>0</xdr:col>
      <xdr:colOff>119531</xdr:colOff>
      <xdr:row>0</xdr:row>
      <xdr:rowOff>127000</xdr:rowOff>
    </xdr:from>
    <xdr:to>
      <xdr:col>12</xdr:col>
      <xdr:colOff>540872</xdr:colOff>
      <xdr:row>23</xdr:row>
      <xdr:rowOff>43762</xdr:rowOff>
    </xdr:to>
    <xdr:pic>
      <xdr:nvPicPr>
        <xdr:cNvPr id="6" name="圖片 5">
          <a:extLst>
            <a:ext uri="{FF2B5EF4-FFF2-40B4-BE49-F238E27FC236}">
              <a16:creationId xmlns:a16="http://schemas.microsoft.com/office/drawing/2014/main" id="{4ABA5165-C912-4879-98DD-FBB627C453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9531" y="127000"/>
          <a:ext cx="7772400" cy="4899644"/>
        </a:xfrm>
        <a:prstGeom prst="rect">
          <a:avLst/>
        </a:prstGeom>
      </xdr:spPr>
    </xdr:pic>
    <xdr:clientData/>
  </xdr:twoCellAnchor>
  <xdr:twoCellAnchor editAs="oneCell">
    <xdr:from>
      <xdr:col>0</xdr:col>
      <xdr:colOff>67824</xdr:colOff>
      <xdr:row>23</xdr:row>
      <xdr:rowOff>194833</xdr:rowOff>
    </xdr:from>
    <xdr:to>
      <xdr:col>12</xdr:col>
      <xdr:colOff>489165</xdr:colOff>
      <xdr:row>47</xdr:row>
      <xdr:rowOff>126048</xdr:rowOff>
    </xdr:to>
    <xdr:pic>
      <xdr:nvPicPr>
        <xdr:cNvPr id="8" name="圖片 7">
          <a:extLst>
            <a:ext uri="{FF2B5EF4-FFF2-40B4-BE49-F238E27FC236}">
              <a16:creationId xmlns:a16="http://schemas.microsoft.com/office/drawing/2014/main" id="{555B63DB-C2C4-413A-B554-50E08071EB3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7824" y="5177715"/>
          <a:ext cx="7772400" cy="51307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549090</xdr:colOff>
      <xdr:row>0</xdr:row>
      <xdr:rowOff>0</xdr:rowOff>
    </xdr:from>
    <xdr:to>
      <xdr:col>22</xdr:col>
      <xdr:colOff>118784</xdr:colOff>
      <xdr:row>21</xdr:row>
      <xdr:rowOff>150460</xdr:rowOff>
    </xdr:to>
    <xdr:pic>
      <xdr:nvPicPr>
        <xdr:cNvPr id="3" name="圖片 2">
          <a:extLst>
            <a:ext uri="{FF2B5EF4-FFF2-40B4-BE49-F238E27FC236}">
              <a16:creationId xmlns:a16="http://schemas.microsoft.com/office/drawing/2014/main" id="{C20DD205-B9A8-9ED0-1D5B-E172351C8DA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384678" y="0"/>
          <a:ext cx="7772400" cy="4386284"/>
        </a:xfrm>
        <a:prstGeom prst="rect">
          <a:avLst/>
        </a:prstGeom>
      </xdr:spPr>
    </xdr:pic>
    <xdr:clientData/>
  </xdr:twoCellAnchor>
  <xdr:twoCellAnchor editAs="oneCell">
    <xdr:from>
      <xdr:col>0</xdr:col>
      <xdr:colOff>0</xdr:colOff>
      <xdr:row>0</xdr:row>
      <xdr:rowOff>0</xdr:rowOff>
    </xdr:from>
    <xdr:to>
      <xdr:col>10</xdr:col>
      <xdr:colOff>554944</xdr:colOff>
      <xdr:row>49</xdr:row>
      <xdr:rowOff>174812</xdr:rowOff>
    </xdr:to>
    <xdr:pic>
      <xdr:nvPicPr>
        <xdr:cNvPr id="6" name="圖片 5">
          <a:extLst>
            <a:ext uri="{FF2B5EF4-FFF2-40B4-BE49-F238E27FC236}">
              <a16:creationId xmlns:a16="http://schemas.microsoft.com/office/drawing/2014/main" id="{754733E1-232D-CB5B-4381-7DB55D6173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7390532" cy="10058400"/>
        </a:xfrm>
        <a:prstGeom prst="rect">
          <a:avLst/>
        </a:prstGeom>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39997558519241921"/>
  </sheetPr>
  <dimension ref="A1:F32"/>
  <sheetViews>
    <sheetView tabSelected="1" workbookViewId="0">
      <selection activeCell="C12" sqref="C12"/>
    </sheetView>
  </sheetViews>
  <sheetFormatPr defaultColWidth="8.875" defaultRowHeight="18.75" x14ac:dyDescent="0.25"/>
  <cols>
    <col min="1" max="1" width="17.375" style="49" customWidth="1"/>
    <col min="2" max="2" width="49.125" style="45" customWidth="1"/>
    <col min="3" max="3" width="14.625" style="44" customWidth="1"/>
    <col min="4" max="4" width="25.875" style="79" customWidth="1"/>
    <col min="5" max="5" width="15.125" style="45" customWidth="1"/>
    <col min="6" max="6" width="16.75" style="45" customWidth="1"/>
    <col min="7" max="16384" width="8.875" style="45"/>
  </cols>
  <sheetData>
    <row r="1" spans="1:6" s="46" customFormat="1" x14ac:dyDescent="0.25">
      <c r="A1" s="47" t="s">
        <v>112</v>
      </c>
      <c r="B1" s="43" t="s">
        <v>26</v>
      </c>
      <c r="C1" s="43" t="s">
        <v>90</v>
      </c>
      <c r="D1" s="31" t="s">
        <v>91</v>
      </c>
      <c r="E1" s="50" t="s">
        <v>131</v>
      </c>
      <c r="F1" s="43" t="s">
        <v>3</v>
      </c>
    </row>
    <row r="2" spans="1:6" x14ac:dyDescent="0.25">
      <c r="A2" s="54" t="s">
        <v>63</v>
      </c>
      <c r="B2" s="55" t="s">
        <v>176</v>
      </c>
      <c r="C2" s="56"/>
      <c r="D2" s="75" t="s">
        <v>135</v>
      </c>
      <c r="E2" s="56"/>
      <c r="F2" s="55"/>
    </row>
    <row r="3" spans="1:6" x14ac:dyDescent="0.25">
      <c r="A3" s="54"/>
      <c r="B3" s="55" t="s">
        <v>172</v>
      </c>
      <c r="C3" s="56"/>
      <c r="D3" s="75" t="s">
        <v>218</v>
      </c>
      <c r="E3" s="56"/>
      <c r="F3" s="55"/>
    </row>
    <row r="4" spans="1:6" x14ac:dyDescent="0.25">
      <c r="A4" s="54" t="s">
        <v>171</v>
      </c>
      <c r="B4" s="55" t="s">
        <v>170</v>
      </c>
      <c r="C4" s="56"/>
      <c r="D4" s="75" t="s">
        <v>218</v>
      </c>
      <c r="E4" s="56"/>
      <c r="F4" s="55"/>
    </row>
    <row r="5" spans="1:6" x14ac:dyDescent="0.25">
      <c r="A5" s="54" t="s">
        <v>164</v>
      </c>
      <c r="B5" s="55" t="s">
        <v>169</v>
      </c>
      <c r="C5" s="56"/>
      <c r="D5" s="75" t="s">
        <v>219</v>
      </c>
      <c r="E5" s="56"/>
      <c r="F5" s="55"/>
    </row>
    <row r="6" spans="1:6" x14ac:dyDescent="0.25">
      <c r="A6" s="54" t="s">
        <v>124</v>
      </c>
      <c r="B6" s="55" t="s">
        <v>113</v>
      </c>
      <c r="C6" s="56" t="s">
        <v>111</v>
      </c>
      <c r="D6" s="75" t="s">
        <v>220</v>
      </c>
      <c r="E6" s="55"/>
      <c r="F6" s="55"/>
    </row>
    <row r="7" spans="1:6" x14ac:dyDescent="0.25">
      <c r="A7" s="54" t="s">
        <v>124</v>
      </c>
      <c r="B7" s="55" t="s">
        <v>114</v>
      </c>
      <c r="C7" s="56" t="s">
        <v>39</v>
      </c>
      <c r="D7" s="75" t="s">
        <v>39</v>
      </c>
      <c r="E7" s="56"/>
      <c r="F7" s="55"/>
    </row>
    <row r="8" spans="1:6" x14ac:dyDescent="0.25">
      <c r="A8" s="54" t="s">
        <v>124</v>
      </c>
      <c r="B8" s="55" t="s">
        <v>115</v>
      </c>
      <c r="C8" s="56" t="s">
        <v>104</v>
      </c>
      <c r="D8" s="75" t="s">
        <v>104</v>
      </c>
      <c r="E8" s="56"/>
      <c r="F8" s="55"/>
    </row>
    <row r="9" spans="1:6" x14ac:dyDescent="0.25">
      <c r="A9" s="54" t="s">
        <v>124</v>
      </c>
      <c r="B9" s="55" t="s">
        <v>136</v>
      </c>
      <c r="C9" s="56" t="s">
        <v>95</v>
      </c>
      <c r="D9" s="75" t="s">
        <v>95</v>
      </c>
      <c r="E9" s="56"/>
      <c r="F9" s="55"/>
    </row>
    <row r="10" spans="1:6" x14ac:dyDescent="0.25">
      <c r="A10" s="48" t="s">
        <v>117</v>
      </c>
      <c r="B10" s="4" t="s">
        <v>127</v>
      </c>
      <c r="C10" s="9" t="s">
        <v>128</v>
      </c>
      <c r="D10" s="32" t="s">
        <v>128</v>
      </c>
      <c r="E10" s="9" t="s">
        <v>129</v>
      </c>
      <c r="F10" s="4"/>
    </row>
    <row r="11" spans="1:6" x14ac:dyDescent="0.25">
      <c r="A11" s="54" t="s">
        <v>117</v>
      </c>
      <c r="B11" s="55" t="s">
        <v>94</v>
      </c>
      <c r="C11" s="56" t="s">
        <v>95</v>
      </c>
      <c r="D11" s="75" t="s">
        <v>132</v>
      </c>
      <c r="E11" s="56"/>
      <c r="F11" s="55"/>
    </row>
    <row r="12" spans="1:6" x14ac:dyDescent="0.25">
      <c r="A12" s="51" t="s">
        <v>117</v>
      </c>
      <c r="B12" s="52" t="s">
        <v>109</v>
      </c>
      <c r="C12" s="53" t="s">
        <v>110</v>
      </c>
      <c r="D12" s="61" t="s">
        <v>110</v>
      </c>
      <c r="E12" s="53"/>
      <c r="F12" s="52" t="s">
        <v>130</v>
      </c>
    </row>
    <row r="13" spans="1:6" x14ac:dyDescent="0.25">
      <c r="A13" s="58" t="s">
        <v>116</v>
      </c>
      <c r="B13" s="59" t="s">
        <v>92</v>
      </c>
      <c r="C13" s="60" t="s">
        <v>133</v>
      </c>
      <c r="D13" s="70" t="s">
        <v>133</v>
      </c>
      <c r="E13" s="60" t="s">
        <v>129</v>
      </c>
      <c r="F13" s="59"/>
    </row>
    <row r="14" spans="1:6" x14ac:dyDescent="0.25">
      <c r="A14" s="54" t="s">
        <v>141</v>
      </c>
      <c r="B14" s="55" t="s">
        <v>142</v>
      </c>
      <c r="C14" s="56"/>
      <c r="D14" s="75" t="s">
        <v>221</v>
      </c>
      <c r="E14" s="56"/>
      <c r="F14" s="55"/>
    </row>
    <row r="15" spans="1:6" x14ac:dyDescent="0.25">
      <c r="A15" s="73" t="s">
        <v>144</v>
      </c>
      <c r="B15" s="74" t="s">
        <v>157</v>
      </c>
      <c r="C15" s="57"/>
      <c r="D15" s="75" t="s">
        <v>156</v>
      </c>
      <c r="E15" s="57"/>
      <c r="F15" s="62"/>
    </row>
    <row r="16" spans="1:6" x14ac:dyDescent="0.25">
      <c r="A16" s="71" t="s">
        <v>144</v>
      </c>
      <c r="B16" s="72" t="s">
        <v>145</v>
      </c>
      <c r="C16" s="69"/>
      <c r="D16" s="61" t="s">
        <v>110</v>
      </c>
      <c r="E16" s="69"/>
      <c r="F16" s="72" t="s">
        <v>137</v>
      </c>
    </row>
    <row r="17" spans="1:6" x14ac:dyDescent="0.25">
      <c r="A17" s="54" t="s">
        <v>118</v>
      </c>
      <c r="B17" s="55" t="s">
        <v>152</v>
      </c>
      <c r="C17" s="75" t="s">
        <v>104</v>
      </c>
      <c r="D17" s="75" t="s">
        <v>104</v>
      </c>
      <c r="E17" s="57"/>
      <c r="F17" s="62"/>
    </row>
    <row r="18" spans="1:6" x14ac:dyDescent="0.25">
      <c r="A18" s="54" t="s">
        <v>118</v>
      </c>
      <c r="B18" s="55" t="s">
        <v>153</v>
      </c>
      <c r="C18" s="56" t="s">
        <v>104</v>
      </c>
      <c r="D18" s="75" t="s">
        <v>39</v>
      </c>
      <c r="E18" s="56"/>
      <c r="F18" s="55"/>
    </row>
    <row r="19" spans="1:6" x14ac:dyDescent="0.25">
      <c r="A19" s="54" t="s">
        <v>118</v>
      </c>
      <c r="B19" s="55" t="s">
        <v>154</v>
      </c>
      <c r="C19" s="56"/>
      <c r="D19" s="75" t="s">
        <v>25</v>
      </c>
      <c r="E19" s="56"/>
      <c r="F19" s="55"/>
    </row>
    <row r="20" spans="1:6" x14ac:dyDescent="0.25">
      <c r="A20" s="51" t="s">
        <v>118</v>
      </c>
      <c r="B20" s="52" t="s">
        <v>173</v>
      </c>
      <c r="C20" s="53"/>
      <c r="D20" s="61" t="s">
        <v>110</v>
      </c>
      <c r="E20" s="61"/>
      <c r="F20" s="52" t="s">
        <v>137</v>
      </c>
    </row>
    <row r="21" spans="1:6" x14ac:dyDescent="0.25">
      <c r="A21" s="58" t="s">
        <v>119</v>
      </c>
      <c r="B21" s="59" t="s">
        <v>103</v>
      </c>
      <c r="C21" s="60" t="s">
        <v>133</v>
      </c>
      <c r="D21" s="70" t="s">
        <v>133</v>
      </c>
      <c r="E21" s="60" t="s">
        <v>129</v>
      </c>
      <c r="F21" s="59"/>
    </row>
    <row r="22" spans="1:6" x14ac:dyDescent="0.25">
      <c r="A22" s="48" t="s">
        <v>120</v>
      </c>
      <c r="B22" s="4" t="s">
        <v>99</v>
      </c>
      <c r="C22" s="9" t="s">
        <v>108</v>
      </c>
      <c r="D22" s="32" t="s">
        <v>93</v>
      </c>
      <c r="E22" s="9" t="s">
        <v>129</v>
      </c>
      <c r="F22" s="4" t="s">
        <v>140</v>
      </c>
    </row>
    <row r="23" spans="1:6" x14ac:dyDescent="0.25">
      <c r="A23" s="48" t="s">
        <v>121</v>
      </c>
      <c r="B23" s="4" t="s">
        <v>101</v>
      </c>
      <c r="C23" s="9" t="s">
        <v>107</v>
      </c>
      <c r="D23" s="32" t="s">
        <v>98</v>
      </c>
      <c r="E23" s="9" t="s">
        <v>129</v>
      </c>
      <c r="F23" s="4" t="s">
        <v>140</v>
      </c>
    </row>
    <row r="24" spans="1:6" x14ac:dyDescent="0.25">
      <c r="A24" s="48" t="s">
        <v>122</v>
      </c>
      <c r="B24" s="4" t="s">
        <v>100</v>
      </c>
      <c r="C24" s="9" t="s">
        <v>97</v>
      </c>
      <c r="D24" s="32" t="s">
        <v>97</v>
      </c>
      <c r="E24" s="9" t="s">
        <v>129</v>
      </c>
      <c r="F24" s="4" t="s">
        <v>140</v>
      </c>
    </row>
    <row r="25" spans="1:6" x14ac:dyDescent="0.25">
      <c r="A25" s="48" t="s">
        <v>123</v>
      </c>
      <c r="B25" s="4" t="s">
        <v>102</v>
      </c>
      <c r="C25" s="9" t="s">
        <v>96</v>
      </c>
      <c r="D25" s="32" t="s">
        <v>96</v>
      </c>
      <c r="E25" s="9" t="s">
        <v>129</v>
      </c>
      <c r="F25" s="4" t="s">
        <v>140</v>
      </c>
    </row>
    <row r="26" spans="1:6" x14ac:dyDescent="0.25">
      <c r="A26" s="51" t="s">
        <v>125</v>
      </c>
      <c r="B26" s="52" t="s">
        <v>105</v>
      </c>
      <c r="C26" s="53" t="s">
        <v>106</v>
      </c>
      <c r="D26" s="61" t="s">
        <v>110</v>
      </c>
      <c r="E26" s="53"/>
      <c r="F26" s="52" t="s">
        <v>137</v>
      </c>
    </row>
    <row r="27" spans="1:6" x14ac:dyDescent="0.25">
      <c r="A27" s="54" t="s">
        <v>126</v>
      </c>
      <c r="B27" s="55" t="s">
        <v>175</v>
      </c>
      <c r="C27" s="56"/>
      <c r="D27" s="75" t="s">
        <v>218</v>
      </c>
      <c r="E27" s="56"/>
      <c r="F27" s="62"/>
    </row>
    <row r="30" spans="1:6" x14ac:dyDescent="0.25">
      <c r="B30" s="49"/>
    </row>
    <row r="31" spans="1:6" x14ac:dyDescent="0.25">
      <c r="B31" s="49"/>
    </row>
    <row r="32" spans="1:6" x14ac:dyDescent="0.25">
      <c r="B32" s="49"/>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39997558519241921"/>
    <pageSetUpPr fitToPage="1"/>
  </sheetPr>
  <dimension ref="A1:G32"/>
  <sheetViews>
    <sheetView workbookViewId="0">
      <selection activeCell="G3" sqref="G3"/>
    </sheetView>
  </sheetViews>
  <sheetFormatPr defaultRowHeight="16.5" x14ac:dyDescent="0.25"/>
  <cols>
    <col min="1" max="1" width="13.25" customWidth="1"/>
    <col min="2" max="2" width="5.25" style="64" bestFit="1" customWidth="1"/>
    <col min="3" max="3" width="21.5" customWidth="1"/>
    <col min="4" max="4" width="57.625" bestFit="1" customWidth="1"/>
    <col min="5" max="5" width="38.625" bestFit="1" customWidth="1"/>
    <col min="6" max="6" width="23.125" customWidth="1"/>
    <col min="7" max="7" width="51.875" bestFit="1" customWidth="1"/>
  </cols>
  <sheetData>
    <row r="1" spans="1:7" x14ac:dyDescent="0.25">
      <c r="A1" s="95" t="s">
        <v>143</v>
      </c>
      <c r="B1" s="96"/>
      <c r="C1" s="5" t="s">
        <v>0</v>
      </c>
      <c r="D1" s="5" t="s">
        <v>1</v>
      </c>
      <c r="E1" s="6" t="s">
        <v>2</v>
      </c>
      <c r="F1" s="6" t="s">
        <v>158</v>
      </c>
      <c r="G1" s="6" t="s">
        <v>3</v>
      </c>
    </row>
    <row r="2" spans="1:7" ht="30.75" customHeight="1" x14ac:dyDescent="0.25">
      <c r="A2" s="93" t="s">
        <v>61</v>
      </c>
      <c r="B2" s="94"/>
      <c r="C2" s="2"/>
      <c r="D2" s="2"/>
      <c r="E2" s="3"/>
      <c r="F2" s="78" t="s">
        <v>161</v>
      </c>
      <c r="G2" s="3"/>
    </row>
    <row r="3" spans="1:7" s="39" customFormat="1" ht="31.5" x14ac:dyDescent="0.25">
      <c r="A3" s="65" t="s">
        <v>63</v>
      </c>
      <c r="B3" s="66"/>
      <c r="C3" s="35" t="s">
        <v>64</v>
      </c>
      <c r="D3" s="36" t="s">
        <v>174</v>
      </c>
      <c r="E3" s="35" t="s">
        <v>134</v>
      </c>
      <c r="F3" s="78" t="s">
        <v>306</v>
      </c>
      <c r="G3" s="35" t="s">
        <v>307</v>
      </c>
    </row>
    <row r="4" spans="1:7" x14ac:dyDescent="0.25">
      <c r="A4" s="67" t="s">
        <v>56</v>
      </c>
      <c r="B4" s="66"/>
      <c r="C4" s="1" t="s">
        <v>4</v>
      </c>
      <c r="D4" s="1" t="s">
        <v>83</v>
      </c>
      <c r="E4" s="1" t="s">
        <v>33</v>
      </c>
      <c r="F4" s="78"/>
      <c r="G4" s="1" t="s">
        <v>16</v>
      </c>
    </row>
    <row r="5" spans="1:7" x14ac:dyDescent="0.25">
      <c r="A5" s="68">
        <v>0.52083333333333337</v>
      </c>
      <c r="B5" s="66"/>
      <c r="C5" s="1" t="s">
        <v>165</v>
      </c>
      <c r="D5" s="1" t="s">
        <v>166</v>
      </c>
      <c r="E5" s="1" t="s">
        <v>33</v>
      </c>
      <c r="F5" s="78" t="s">
        <v>167</v>
      </c>
      <c r="G5" s="1"/>
    </row>
    <row r="6" spans="1:7" ht="47.25" x14ac:dyDescent="0.25">
      <c r="A6" s="92" t="s">
        <v>17</v>
      </c>
      <c r="B6" s="66"/>
      <c r="C6" s="1" t="s">
        <v>5</v>
      </c>
      <c r="D6" s="1" t="s">
        <v>168</v>
      </c>
      <c r="E6" s="1" t="s">
        <v>33</v>
      </c>
      <c r="F6" s="78"/>
      <c r="G6" s="1" t="s">
        <v>18</v>
      </c>
    </row>
    <row r="7" spans="1:7" x14ac:dyDescent="0.25">
      <c r="A7" s="92"/>
      <c r="B7" s="66"/>
      <c r="C7" s="1" t="s">
        <v>6</v>
      </c>
      <c r="D7" s="1" t="s">
        <v>150</v>
      </c>
      <c r="E7" s="1" t="s">
        <v>222</v>
      </c>
      <c r="F7" s="78" t="s">
        <v>162</v>
      </c>
      <c r="G7" s="1" t="s">
        <v>22</v>
      </c>
    </row>
    <row r="8" spans="1:7" x14ac:dyDescent="0.25">
      <c r="A8" s="67" t="s">
        <v>32</v>
      </c>
      <c r="B8" s="66"/>
      <c r="C8" s="1" t="s">
        <v>7</v>
      </c>
      <c r="D8" s="1" t="s">
        <v>84</v>
      </c>
      <c r="E8" s="1" t="s">
        <v>223</v>
      </c>
      <c r="F8" s="78"/>
      <c r="G8" s="1" t="s">
        <v>47</v>
      </c>
    </row>
    <row r="9" spans="1:7" ht="31.5" x14ac:dyDescent="0.25">
      <c r="A9" s="68">
        <v>0.10416666666666667</v>
      </c>
      <c r="B9" s="66"/>
      <c r="C9" s="1" t="s">
        <v>8</v>
      </c>
      <c r="D9" s="1" t="s">
        <v>82</v>
      </c>
      <c r="E9" s="1" t="s">
        <v>224</v>
      </c>
      <c r="F9" s="78"/>
      <c r="G9" s="1" t="s">
        <v>225</v>
      </c>
    </row>
    <row r="10" spans="1:7" x14ac:dyDescent="0.25">
      <c r="A10" s="92" t="s">
        <v>28</v>
      </c>
      <c r="B10" s="66"/>
      <c r="C10" s="1" t="s">
        <v>9</v>
      </c>
      <c r="D10" s="1" t="s">
        <v>10</v>
      </c>
      <c r="E10" s="1" t="s">
        <v>65</v>
      </c>
      <c r="F10" s="78"/>
      <c r="G10" s="1"/>
    </row>
    <row r="11" spans="1:7" x14ac:dyDescent="0.25">
      <c r="A11" s="92"/>
      <c r="B11" s="66"/>
      <c r="C11" s="1" t="s">
        <v>11</v>
      </c>
      <c r="D11" s="35" t="s">
        <v>138</v>
      </c>
      <c r="E11" s="1" t="s">
        <v>19</v>
      </c>
      <c r="F11" s="78"/>
      <c r="G11" s="1"/>
    </row>
    <row r="12" spans="1:7" x14ac:dyDescent="0.25">
      <c r="A12" s="92"/>
      <c r="B12" s="66"/>
      <c r="C12" s="1" t="s">
        <v>12</v>
      </c>
      <c r="D12" s="1" t="s">
        <v>20</v>
      </c>
      <c r="E12" s="1" t="s">
        <v>37</v>
      </c>
      <c r="F12" s="78"/>
      <c r="G12" s="1"/>
    </row>
    <row r="13" spans="1:7" x14ac:dyDescent="0.25">
      <c r="A13" s="92"/>
      <c r="B13" s="66"/>
      <c r="C13" s="1" t="s">
        <v>13</v>
      </c>
      <c r="D13" s="1" t="s">
        <v>139</v>
      </c>
      <c r="E13" s="1" t="s">
        <v>23</v>
      </c>
      <c r="F13" s="78"/>
      <c r="G13" s="1"/>
    </row>
    <row r="14" spans="1:7" x14ac:dyDescent="0.25">
      <c r="A14" s="92"/>
      <c r="B14" s="66"/>
      <c r="C14" s="35" t="s">
        <v>78</v>
      </c>
      <c r="D14" s="35" t="s">
        <v>86</v>
      </c>
      <c r="E14" s="1" t="s">
        <v>19</v>
      </c>
      <c r="F14" s="78"/>
      <c r="G14" s="35" t="s">
        <v>305</v>
      </c>
    </row>
    <row r="15" spans="1:7" ht="31.5" x14ac:dyDescent="0.25">
      <c r="A15" s="68">
        <v>0.13194444444444445</v>
      </c>
      <c r="B15" s="66"/>
      <c r="C15" s="1" t="s">
        <v>284</v>
      </c>
      <c r="D15" s="1" t="s">
        <v>283</v>
      </c>
      <c r="E15" s="1" t="s">
        <v>282</v>
      </c>
      <c r="F15" s="78" t="s">
        <v>163</v>
      </c>
      <c r="G15" s="1" t="s">
        <v>147</v>
      </c>
    </row>
    <row r="16" spans="1:7" ht="47.25" x14ac:dyDescent="0.25">
      <c r="A16" s="67" t="s">
        <v>285</v>
      </c>
      <c r="B16" s="66"/>
      <c r="C16" s="1" t="s">
        <v>21</v>
      </c>
      <c r="D16" s="1" t="s">
        <v>85</v>
      </c>
      <c r="E16" s="1" t="s">
        <v>66</v>
      </c>
      <c r="F16" s="78"/>
      <c r="G16" s="1" t="s">
        <v>29</v>
      </c>
    </row>
    <row r="17" spans="1:7" ht="47.25" x14ac:dyDescent="0.25">
      <c r="A17" s="67" t="s">
        <v>263</v>
      </c>
      <c r="B17" s="66">
        <v>20</v>
      </c>
      <c r="C17" s="1" t="s">
        <v>286</v>
      </c>
      <c r="D17" s="35" t="s">
        <v>294</v>
      </c>
      <c r="E17" s="35" t="s">
        <v>146</v>
      </c>
      <c r="F17" s="78" t="s">
        <v>303</v>
      </c>
      <c r="G17" s="35" t="s">
        <v>304</v>
      </c>
    </row>
    <row r="18" spans="1:7" ht="47.25" x14ac:dyDescent="0.25">
      <c r="A18" s="68" t="s">
        <v>79</v>
      </c>
      <c r="B18" s="66">
        <v>10</v>
      </c>
      <c r="C18" s="1" t="s">
        <v>287</v>
      </c>
      <c r="D18" s="35" t="s">
        <v>295</v>
      </c>
      <c r="E18" s="1" t="s">
        <v>146</v>
      </c>
      <c r="F18" s="78" t="s">
        <v>302</v>
      </c>
      <c r="G18" s="35" t="s">
        <v>304</v>
      </c>
    </row>
    <row r="19" spans="1:7" ht="31.5" x14ac:dyDescent="0.25">
      <c r="A19" s="67" t="s">
        <v>266</v>
      </c>
      <c r="B19" s="66">
        <v>8</v>
      </c>
      <c r="C19" s="1" t="s">
        <v>288</v>
      </c>
      <c r="D19" s="1" t="s">
        <v>296</v>
      </c>
      <c r="E19" s="1" t="s">
        <v>67</v>
      </c>
      <c r="F19" s="78" t="s">
        <v>301</v>
      </c>
      <c r="G19" s="35" t="s">
        <v>304</v>
      </c>
    </row>
    <row r="20" spans="1:7" ht="31.5" x14ac:dyDescent="0.25">
      <c r="A20" s="67" t="s">
        <v>268</v>
      </c>
      <c r="B20" s="66">
        <v>8</v>
      </c>
      <c r="C20" s="1" t="s">
        <v>289</v>
      </c>
      <c r="D20" s="35" t="s">
        <v>297</v>
      </c>
      <c r="E20" s="35" t="s">
        <v>146</v>
      </c>
      <c r="F20" s="78" t="s">
        <v>159</v>
      </c>
      <c r="G20" s="35" t="s">
        <v>304</v>
      </c>
    </row>
    <row r="21" spans="1:7" ht="47.25" x14ac:dyDescent="0.25">
      <c r="A21" s="67" t="s">
        <v>270</v>
      </c>
      <c r="B21" s="66">
        <v>8</v>
      </c>
      <c r="C21" s="1" t="s">
        <v>290</v>
      </c>
      <c r="D21" s="1" t="s">
        <v>298</v>
      </c>
      <c r="E21" s="1" t="s">
        <v>146</v>
      </c>
      <c r="F21" s="78" t="s">
        <v>160</v>
      </c>
      <c r="G21" s="35" t="s">
        <v>304</v>
      </c>
    </row>
    <row r="22" spans="1:7" ht="47.25" x14ac:dyDescent="0.25">
      <c r="A22" s="67" t="s">
        <v>272</v>
      </c>
      <c r="B22" s="66">
        <v>16</v>
      </c>
      <c r="C22" s="1" t="s">
        <v>291</v>
      </c>
      <c r="D22" s="1" t="s">
        <v>274</v>
      </c>
      <c r="E22" s="1" t="s">
        <v>67</v>
      </c>
      <c r="F22" s="78" t="s">
        <v>300</v>
      </c>
      <c r="G22" s="35" t="s">
        <v>304</v>
      </c>
    </row>
    <row r="23" spans="1:7" s="105" customFormat="1" ht="47.25" x14ac:dyDescent="0.25">
      <c r="A23" s="68" t="s">
        <v>278</v>
      </c>
      <c r="B23" s="104">
        <v>5</v>
      </c>
      <c r="C23" s="1" t="s">
        <v>292</v>
      </c>
      <c r="D23" s="1" t="s">
        <v>299</v>
      </c>
      <c r="E23" s="1" t="s">
        <v>146</v>
      </c>
      <c r="F23" s="78" t="s">
        <v>301</v>
      </c>
      <c r="G23" s="35" t="s">
        <v>304</v>
      </c>
    </row>
    <row r="24" spans="1:7" ht="31.5" x14ac:dyDescent="0.25">
      <c r="A24" s="68" t="s">
        <v>293</v>
      </c>
      <c r="B24" s="66">
        <v>5</v>
      </c>
      <c r="C24" s="36" t="s">
        <v>177</v>
      </c>
      <c r="D24" s="36" t="s">
        <v>178</v>
      </c>
      <c r="E24" s="1" t="s">
        <v>179</v>
      </c>
      <c r="F24" s="78" t="s">
        <v>161</v>
      </c>
      <c r="G24" s="36"/>
    </row>
    <row r="25" spans="1:7" x14ac:dyDescent="0.25">
      <c r="A25" s="68">
        <v>0.19791666666666666</v>
      </c>
      <c r="B25" s="66"/>
      <c r="C25" s="1" t="s">
        <v>14</v>
      </c>
      <c r="D25" s="1" t="s">
        <v>52</v>
      </c>
      <c r="E25" s="1" t="s">
        <v>68</v>
      </c>
      <c r="F25" s="78"/>
      <c r="G25" s="1" t="s">
        <v>15</v>
      </c>
    </row>
    <row r="28" spans="1:7" x14ac:dyDescent="0.25">
      <c r="B28" s="63"/>
    </row>
    <row r="29" spans="1:7" x14ac:dyDescent="0.25">
      <c r="A29" t="s">
        <v>69</v>
      </c>
    </row>
    <row r="30" spans="1:7" x14ac:dyDescent="0.25">
      <c r="A30" t="s">
        <v>70</v>
      </c>
    </row>
    <row r="32" spans="1:7" x14ac:dyDescent="0.25">
      <c r="A32" t="s">
        <v>42</v>
      </c>
    </row>
  </sheetData>
  <mergeCells count="4">
    <mergeCell ref="A6:A7"/>
    <mergeCell ref="A10:A14"/>
    <mergeCell ref="A2:B2"/>
    <mergeCell ref="A1:B1"/>
  </mergeCells>
  <phoneticPr fontId="1" type="noConversion"/>
  <pageMargins left="0.7" right="0.7" top="0.75" bottom="0.75" header="0.3" footer="0.3"/>
  <pageSetup paperSize="9" scale="71"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39997558519241921"/>
  </sheetPr>
  <dimension ref="A1:D31"/>
  <sheetViews>
    <sheetView topLeftCell="A5" workbookViewId="0">
      <selection activeCell="B24" sqref="B24"/>
    </sheetView>
  </sheetViews>
  <sheetFormatPr defaultColWidth="9" defaultRowHeight="15.75" x14ac:dyDescent="0.25"/>
  <cols>
    <col min="1" max="1" width="14.375" style="12" customWidth="1"/>
    <col min="2" max="2" width="15.625" style="12" customWidth="1"/>
    <col min="3" max="3" width="99.125" style="12" customWidth="1"/>
    <col min="4" max="4" width="49" style="12" customWidth="1"/>
    <col min="5" max="16384" width="9" style="12"/>
  </cols>
  <sheetData>
    <row r="1" spans="1:4" ht="16.5" x14ac:dyDescent="0.25">
      <c r="A1" s="99" t="s">
        <v>43</v>
      </c>
      <c r="B1" s="99" t="s">
        <v>0</v>
      </c>
      <c r="C1" s="99" t="s">
        <v>44</v>
      </c>
      <c r="D1" s="81" t="s">
        <v>51</v>
      </c>
    </row>
    <row r="2" spans="1:4" ht="16.5" x14ac:dyDescent="0.25">
      <c r="A2" s="99"/>
      <c r="B2" s="99"/>
      <c r="C2" s="99"/>
      <c r="D2" s="81" t="s">
        <v>180</v>
      </c>
    </row>
    <row r="3" spans="1:4" ht="16.5" x14ac:dyDescent="0.25">
      <c r="A3" s="99"/>
      <c r="B3" s="99"/>
      <c r="C3" s="99"/>
      <c r="D3" s="81" t="s">
        <v>181</v>
      </c>
    </row>
    <row r="4" spans="1:4" x14ac:dyDescent="0.25">
      <c r="A4" s="100">
        <v>0.125</v>
      </c>
      <c r="B4" s="98" t="s">
        <v>46</v>
      </c>
      <c r="C4" s="14" t="s">
        <v>182</v>
      </c>
      <c r="D4" s="83" t="s">
        <v>226</v>
      </c>
    </row>
    <row r="5" spans="1:4" ht="32.25" x14ac:dyDescent="0.25">
      <c r="A5" s="97"/>
      <c r="B5" s="98"/>
      <c r="C5" s="14" t="s">
        <v>281</v>
      </c>
      <c r="D5" s="76" t="s">
        <v>183</v>
      </c>
    </row>
    <row r="6" spans="1:4" ht="32.25" x14ac:dyDescent="0.25">
      <c r="A6" s="97" t="s">
        <v>53</v>
      </c>
      <c r="B6" s="98" t="s">
        <v>45</v>
      </c>
      <c r="C6" s="14" t="s">
        <v>184</v>
      </c>
      <c r="D6" s="80" t="s">
        <v>148</v>
      </c>
    </row>
    <row r="7" spans="1:4" ht="16.5" x14ac:dyDescent="0.25">
      <c r="A7" s="97"/>
      <c r="B7" s="98"/>
      <c r="C7" s="14" t="s">
        <v>185</v>
      </c>
      <c r="D7" s="14" t="s">
        <v>155</v>
      </c>
    </row>
    <row r="8" spans="1:4" ht="32.25" x14ac:dyDescent="0.25">
      <c r="A8" s="97"/>
      <c r="B8" s="98"/>
      <c r="C8" s="14" t="s">
        <v>186</v>
      </c>
      <c r="D8" s="76" t="s">
        <v>54</v>
      </c>
    </row>
    <row r="9" spans="1:4" ht="48" x14ac:dyDescent="0.25">
      <c r="A9" s="97"/>
      <c r="B9" s="98"/>
      <c r="C9" s="14" t="s">
        <v>247</v>
      </c>
      <c r="D9" s="76" t="s">
        <v>54</v>
      </c>
    </row>
    <row r="10" spans="1:4" ht="31.5" x14ac:dyDescent="0.25">
      <c r="A10" s="82">
        <v>0.13194444444444445</v>
      </c>
      <c r="B10" s="80" t="s">
        <v>249</v>
      </c>
      <c r="C10" s="14" t="s">
        <v>251</v>
      </c>
      <c r="D10" s="76" t="s">
        <v>54</v>
      </c>
    </row>
    <row r="11" spans="1:4" ht="47.25" x14ac:dyDescent="0.25">
      <c r="A11" s="82" t="s">
        <v>250</v>
      </c>
      <c r="B11" s="80" t="s">
        <v>87</v>
      </c>
      <c r="C11" s="14"/>
      <c r="D11" s="30" t="s">
        <v>248</v>
      </c>
    </row>
    <row r="12" spans="1:4" x14ac:dyDescent="0.25">
      <c r="A12" s="25">
        <v>0.1388888888888889</v>
      </c>
      <c r="B12" s="26" t="s">
        <v>50</v>
      </c>
      <c r="C12" s="26" t="s">
        <v>48</v>
      </c>
      <c r="D12" s="77" t="s">
        <v>55</v>
      </c>
    </row>
    <row r="13" spans="1:4" ht="47.25" x14ac:dyDescent="0.25">
      <c r="A13" s="23" t="s">
        <v>264</v>
      </c>
      <c r="B13" s="26"/>
      <c r="C13" s="27" t="s">
        <v>259</v>
      </c>
      <c r="D13" s="29" t="s">
        <v>252</v>
      </c>
    </row>
    <row r="14" spans="1:4" ht="31.5" x14ac:dyDescent="0.25">
      <c r="A14" s="22" t="s">
        <v>265</v>
      </c>
      <c r="B14" s="27"/>
      <c r="C14" s="28" t="s">
        <v>258</v>
      </c>
      <c r="D14" s="29" t="s">
        <v>253</v>
      </c>
    </row>
    <row r="15" spans="1:4" ht="31.5" x14ac:dyDescent="0.25">
      <c r="A15" s="24" t="s">
        <v>267</v>
      </c>
      <c r="B15" s="26"/>
      <c r="C15" s="28" t="s">
        <v>257</v>
      </c>
      <c r="D15" s="29" t="s">
        <v>254</v>
      </c>
    </row>
    <row r="16" spans="1:4" ht="31.5" x14ac:dyDescent="0.25">
      <c r="A16" s="24" t="s">
        <v>269</v>
      </c>
      <c r="B16" s="26"/>
      <c r="C16" s="28" t="s">
        <v>260</v>
      </c>
      <c r="D16" s="29" t="s">
        <v>255</v>
      </c>
    </row>
    <row r="17" spans="1:4" ht="32.25" x14ac:dyDescent="0.25">
      <c r="A17" s="24" t="s">
        <v>271</v>
      </c>
      <c r="B17" s="26"/>
      <c r="C17" s="28" t="s">
        <v>261</v>
      </c>
      <c r="D17" s="29" t="s">
        <v>256</v>
      </c>
    </row>
    <row r="18" spans="1:4" ht="31.5" x14ac:dyDescent="0.25">
      <c r="A18" s="24" t="s">
        <v>273</v>
      </c>
      <c r="B18" s="26"/>
      <c r="C18" s="28" t="s">
        <v>262</v>
      </c>
      <c r="D18" s="29" t="s">
        <v>276</v>
      </c>
    </row>
    <row r="19" spans="1:4" ht="31.5" x14ac:dyDescent="0.25">
      <c r="A19" s="24" t="s">
        <v>279</v>
      </c>
      <c r="B19" s="26"/>
      <c r="C19" s="28" t="s">
        <v>275</v>
      </c>
      <c r="D19" s="29" t="s">
        <v>277</v>
      </c>
    </row>
    <row r="20" spans="1:4" ht="63.75" x14ac:dyDescent="0.25">
      <c r="A20" s="25">
        <v>0.19791666666666666</v>
      </c>
      <c r="B20" s="80" t="s">
        <v>14</v>
      </c>
      <c r="C20" s="80" t="s">
        <v>280</v>
      </c>
      <c r="D20" s="76" t="s">
        <v>187</v>
      </c>
    </row>
    <row r="21" spans="1:4" x14ac:dyDescent="0.25">
      <c r="A21" s="25">
        <v>0.19791666666666666</v>
      </c>
      <c r="B21" s="13"/>
      <c r="C21" s="13" t="s">
        <v>49</v>
      </c>
      <c r="D21" s="76" t="s">
        <v>187</v>
      </c>
    </row>
    <row r="24" spans="1:4" x14ac:dyDescent="0.25">
      <c r="A24" s="15"/>
      <c r="B24" s="16"/>
      <c r="C24" s="17"/>
      <c r="D24" s="18"/>
    </row>
    <row r="25" spans="1:4" x14ac:dyDescent="0.25">
      <c r="A25" s="19"/>
      <c r="B25" s="19"/>
      <c r="C25" s="19"/>
      <c r="D25" s="19"/>
    </row>
    <row r="26" spans="1:4" x14ac:dyDescent="0.25">
      <c r="A26" s="19"/>
      <c r="B26" s="20"/>
      <c r="C26" s="17"/>
      <c r="D26" s="16"/>
    </row>
    <row r="27" spans="1:4" x14ac:dyDescent="0.25">
      <c r="A27" s="21"/>
      <c r="B27" s="17"/>
      <c r="C27" s="17"/>
      <c r="D27" s="18"/>
    </row>
    <row r="28" spans="1:4" x14ac:dyDescent="0.25">
      <c r="A28" s="19"/>
      <c r="B28" s="19"/>
      <c r="C28" s="17"/>
      <c r="D28" s="16"/>
    </row>
    <row r="29" spans="1:4" x14ac:dyDescent="0.25">
      <c r="A29" s="21"/>
      <c r="B29" s="16"/>
      <c r="C29" s="17"/>
      <c r="D29" s="18"/>
    </row>
    <row r="30" spans="1:4" x14ac:dyDescent="0.25">
      <c r="A30" s="15"/>
      <c r="B30" s="16"/>
      <c r="C30" s="17"/>
      <c r="D30" s="18"/>
    </row>
    <row r="31" spans="1:4" x14ac:dyDescent="0.25">
      <c r="A31" s="19"/>
      <c r="B31" s="19"/>
      <c r="C31" s="17"/>
      <c r="D31" s="16"/>
    </row>
  </sheetData>
  <mergeCells count="7">
    <mergeCell ref="A6:A9"/>
    <mergeCell ref="B6:B9"/>
    <mergeCell ref="A1:A3"/>
    <mergeCell ref="B1:B3"/>
    <mergeCell ref="C1:C3"/>
    <mergeCell ref="A4:A5"/>
    <mergeCell ref="B4:B5"/>
  </mergeCells>
  <phoneticPr fontId="1" type="noConversion"/>
  <pageMargins left="0" right="0" top="0" bottom="0" header="0.31496062992125984" footer="0.31496062992125984"/>
  <pageSetup paperSize="9" scale="80" orientation="landscape"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39997558519241921"/>
    <pageSetUpPr fitToPage="1"/>
  </sheetPr>
  <dimension ref="A1:E7"/>
  <sheetViews>
    <sheetView workbookViewId="0">
      <selection activeCell="D3" sqref="D3"/>
    </sheetView>
  </sheetViews>
  <sheetFormatPr defaultColWidth="9" defaultRowHeight="15.75" x14ac:dyDescent="0.25"/>
  <cols>
    <col min="1" max="1" width="15.625" style="12" customWidth="1"/>
    <col min="2" max="2" width="34.25" style="12" customWidth="1"/>
    <col min="3" max="3" width="16.75" style="12" customWidth="1"/>
    <col min="4" max="4" width="7.625" style="12" customWidth="1"/>
    <col min="5" max="5" width="76.25" style="12" customWidth="1"/>
    <col min="6" max="16384" width="9" style="12"/>
  </cols>
  <sheetData>
    <row r="1" spans="1:5" s="42" customFormat="1" ht="20.25" customHeight="1" x14ac:dyDescent="0.25">
      <c r="A1" s="41" t="s">
        <v>34</v>
      </c>
      <c r="B1" s="41" t="s">
        <v>35</v>
      </c>
      <c r="C1" s="41" t="s">
        <v>36</v>
      </c>
      <c r="D1" s="41" t="s">
        <v>71</v>
      </c>
      <c r="E1" s="41" t="s">
        <v>89</v>
      </c>
    </row>
    <row r="2" spans="1:5" ht="200.25" customHeight="1" x14ac:dyDescent="0.25">
      <c r="A2" s="84" t="s">
        <v>188</v>
      </c>
      <c r="B2" s="84" t="s">
        <v>189</v>
      </c>
      <c r="C2" s="85" t="s">
        <v>59</v>
      </c>
      <c r="D2" s="41">
        <v>4</v>
      </c>
      <c r="E2" s="84" t="s">
        <v>190</v>
      </c>
    </row>
    <row r="3" spans="1:5" ht="268.5" customHeight="1" x14ac:dyDescent="0.25">
      <c r="A3" s="84" t="s">
        <v>191</v>
      </c>
      <c r="B3" s="84" t="s">
        <v>192</v>
      </c>
      <c r="C3" s="84" t="s">
        <v>193</v>
      </c>
      <c r="D3" s="41">
        <v>4</v>
      </c>
      <c r="E3" s="86" t="s">
        <v>194</v>
      </c>
    </row>
    <row r="4" spans="1:5" x14ac:dyDescent="0.25">
      <c r="A4" s="40"/>
    </row>
    <row r="5" spans="1:5" x14ac:dyDescent="0.25">
      <c r="A5" s="101" t="s">
        <v>80</v>
      </c>
      <c r="B5" s="101"/>
      <c r="C5" s="101"/>
    </row>
    <row r="6" spans="1:5" x14ac:dyDescent="0.25">
      <c r="A6" s="102" t="s">
        <v>88</v>
      </c>
      <c r="B6" s="102"/>
      <c r="C6" s="102"/>
    </row>
    <row r="7" spans="1:5" x14ac:dyDescent="0.25">
      <c r="A7" s="102" t="s">
        <v>60</v>
      </c>
      <c r="B7" s="102"/>
      <c r="C7" s="102"/>
    </row>
  </sheetData>
  <mergeCells count="3">
    <mergeCell ref="A5:C5"/>
    <mergeCell ref="A6:C6"/>
    <mergeCell ref="A7:C7"/>
  </mergeCells>
  <phoneticPr fontId="1" type="noConversion"/>
  <pageMargins left="0.19685039370078741" right="0.19685039370078741" top="0.74803149606299213" bottom="0.74803149606299213" header="0.31496062992125984" footer="0.31496062992125984"/>
  <pageSetup paperSize="9" scale="9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
  <sheetViews>
    <sheetView workbookViewId="0">
      <selection activeCell="B5" sqref="B5"/>
    </sheetView>
  </sheetViews>
  <sheetFormatPr defaultRowHeight="16.5" x14ac:dyDescent="0.25"/>
  <cols>
    <col min="1" max="1" width="65.5" customWidth="1"/>
    <col min="2" max="4" width="10.125" customWidth="1"/>
    <col min="5" max="5" width="18" customWidth="1"/>
    <col min="6" max="6" width="33.75" customWidth="1"/>
  </cols>
  <sheetData>
    <row r="1" spans="1:6" ht="24.95" customHeight="1" x14ac:dyDescent="0.25">
      <c r="A1" s="31" t="s">
        <v>195</v>
      </c>
      <c r="B1" s="31" t="s">
        <v>196</v>
      </c>
      <c r="C1" s="31" t="s">
        <v>197</v>
      </c>
      <c r="D1" s="31" t="s">
        <v>198</v>
      </c>
      <c r="E1" s="31" t="s">
        <v>199</v>
      </c>
      <c r="F1" s="31" t="s">
        <v>200</v>
      </c>
    </row>
    <row r="2" spans="1:6" ht="24.95" customHeight="1" x14ac:dyDescent="0.25">
      <c r="A2" s="32" t="s">
        <v>216</v>
      </c>
      <c r="B2" s="87">
        <v>400</v>
      </c>
      <c r="C2" s="87">
        <v>231</v>
      </c>
      <c r="D2" s="87"/>
      <c r="E2" s="87">
        <v>92400</v>
      </c>
      <c r="F2" s="33"/>
    </row>
    <row r="3" spans="1:6" ht="24.95" customHeight="1" x14ac:dyDescent="0.25">
      <c r="A3" s="32" t="s">
        <v>215</v>
      </c>
      <c r="B3" s="87">
        <v>500</v>
      </c>
      <c r="C3" s="87">
        <v>231</v>
      </c>
      <c r="D3" s="87" t="s">
        <v>201</v>
      </c>
      <c r="E3" s="87">
        <v>115500</v>
      </c>
      <c r="F3" s="33" t="s">
        <v>206</v>
      </c>
    </row>
    <row r="4" spans="1:6" ht="24.95" customHeight="1" x14ac:dyDescent="0.25">
      <c r="A4" s="32" t="s">
        <v>202</v>
      </c>
      <c r="B4" s="87" t="s">
        <v>201</v>
      </c>
      <c r="C4" s="87" t="s">
        <v>201</v>
      </c>
      <c r="D4" s="87" t="s">
        <v>201</v>
      </c>
      <c r="E4" s="87">
        <v>20000</v>
      </c>
      <c r="F4" s="33" t="s">
        <v>201</v>
      </c>
    </row>
    <row r="5" spans="1:6" ht="24.95" customHeight="1" x14ac:dyDescent="0.25">
      <c r="A5" s="32" t="s">
        <v>203</v>
      </c>
      <c r="B5" s="87">
        <v>600</v>
      </c>
      <c r="C5" s="87">
        <v>3</v>
      </c>
      <c r="D5" s="87" t="s">
        <v>201</v>
      </c>
      <c r="E5" s="87">
        <v>1800</v>
      </c>
      <c r="F5" s="33" t="s">
        <v>201</v>
      </c>
    </row>
    <row r="6" spans="1:6" ht="24.95" customHeight="1" x14ac:dyDescent="0.25">
      <c r="A6" s="32" t="s">
        <v>204</v>
      </c>
      <c r="B6" s="32" t="s">
        <v>201</v>
      </c>
      <c r="C6" s="32" t="s">
        <v>201</v>
      </c>
      <c r="D6" s="32" t="s">
        <v>201</v>
      </c>
      <c r="E6" s="32" t="s">
        <v>201</v>
      </c>
      <c r="F6" s="33" t="s">
        <v>201</v>
      </c>
    </row>
    <row r="7" spans="1:6" ht="24.95" customHeight="1" x14ac:dyDescent="0.25">
      <c r="A7" s="32" t="s">
        <v>205</v>
      </c>
      <c r="B7" s="32" t="s">
        <v>201</v>
      </c>
      <c r="C7" s="32" t="s">
        <v>201</v>
      </c>
      <c r="D7" s="32" t="s">
        <v>201</v>
      </c>
      <c r="E7" s="87">
        <v>1300</v>
      </c>
      <c r="F7" s="90" t="s">
        <v>217</v>
      </c>
    </row>
    <row r="8" spans="1:6" ht="24.95" customHeight="1" x14ac:dyDescent="0.25">
      <c r="A8" s="32"/>
      <c r="B8" s="32"/>
      <c r="C8" s="32"/>
      <c r="D8" s="32"/>
      <c r="E8" s="32"/>
      <c r="F8" s="33"/>
    </row>
    <row r="9" spans="1:6" ht="24.95" customHeight="1" x14ac:dyDescent="0.25">
      <c r="A9" s="34"/>
      <c r="B9" s="34"/>
      <c r="C9" s="34"/>
      <c r="D9" s="34"/>
      <c r="E9" s="34"/>
      <c r="F9" s="4"/>
    </row>
    <row r="10" spans="1:6" ht="24.95" customHeight="1" x14ac:dyDescent="0.25">
      <c r="A10" s="10"/>
      <c r="B10" s="10"/>
      <c r="C10" s="10"/>
      <c r="D10" s="10" t="s">
        <v>30</v>
      </c>
      <c r="E10" s="88">
        <f>SUM(E2:E8)</f>
        <v>231000</v>
      </c>
      <c r="F10" s="4"/>
    </row>
    <row r="11" spans="1:6" ht="24.95" customHeight="1" x14ac:dyDescent="0.25">
      <c r="A11" s="10"/>
      <c r="B11" s="10"/>
      <c r="C11" s="10"/>
      <c r="D11" s="10" t="s">
        <v>31</v>
      </c>
      <c r="E11" s="89">
        <v>0</v>
      </c>
      <c r="F11" s="4"/>
    </row>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election activeCell="N13" sqref="N13"/>
    </sheetView>
  </sheetViews>
  <sheetFormatPr defaultRowHeight="16.5" x14ac:dyDescent="0.25"/>
  <sheetData/>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8"/>
  <sheetViews>
    <sheetView workbookViewId="0">
      <selection activeCell="B17" sqref="B17"/>
    </sheetView>
  </sheetViews>
  <sheetFormatPr defaultRowHeight="23.85" customHeight="1" x14ac:dyDescent="0.25"/>
  <cols>
    <col min="1" max="1" width="83.375" customWidth="1"/>
    <col min="2" max="2" width="39.375" customWidth="1"/>
    <col min="3" max="3" width="26.125" customWidth="1"/>
  </cols>
  <sheetData>
    <row r="1" spans="1:3" ht="23.85" customHeight="1" x14ac:dyDescent="0.25">
      <c r="A1" s="11" t="s">
        <v>26</v>
      </c>
      <c r="B1" s="11" t="s">
        <v>27</v>
      </c>
      <c r="C1" s="11" t="s">
        <v>3</v>
      </c>
    </row>
    <row r="2" spans="1:3" ht="23.85" customHeight="1" x14ac:dyDescent="0.25">
      <c r="A2" s="4" t="s">
        <v>24</v>
      </c>
      <c r="B2" s="4" t="s">
        <v>220</v>
      </c>
      <c r="C2" s="4" t="s">
        <v>232</v>
      </c>
    </row>
    <row r="3" spans="1:3" ht="23.85" customHeight="1" x14ac:dyDescent="0.25">
      <c r="A3" s="4" t="s">
        <v>57</v>
      </c>
      <c r="B3" s="4" t="s">
        <v>25</v>
      </c>
      <c r="C3" s="4"/>
    </row>
    <row r="4" spans="1:3" ht="23.85" customHeight="1" x14ac:dyDescent="0.25">
      <c r="A4" s="4" t="s">
        <v>40</v>
      </c>
      <c r="B4" s="4" t="s">
        <v>241</v>
      </c>
      <c r="C4" s="33" t="s">
        <v>81</v>
      </c>
    </row>
    <row r="5" spans="1:3" ht="23.85" customHeight="1" x14ac:dyDescent="0.25">
      <c r="A5" s="4" t="s">
        <v>41</v>
      </c>
      <c r="B5" s="4" t="s">
        <v>228</v>
      </c>
      <c r="C5" s="4"/>
    </row>
    <row r="6" spans="1:3" ht="23.85" customHeight="1" x14ac:dyDescent="0.25">
      <c r="A6" s="4" t="s">
        <v>58</v>
      </c>
      <c r="B6" s="4" t="s">
        <v>227</v>
      </c>
      <c r="C6" s="4"/>
    </row>
    <row r="7" spans="1:3" ht="23.85" customHeight="1" x14ac:dyDescent="0.25">
      <c r="A7" s="4" t="s">
        <v>38</v>
      </c>
      <c r="B7" s="4" t="s">
        <v>220</v>
      </c>
      <c r="C7" s="4"/>
    </row>
    <row r="8" spans="1:3" ht="23.85" customHeight="1" x14ac:dyDescent="0.25">
      <c r="A8" s="4" t="s">
        <v>231</v>
      </c>
      <c r="B8" s="4" t="s">
        <v>229</v>
      </c>
      <c r="C8" s="4"/>
    </row>
    <row r="9" spans="1:3" ht="23.85" customHeight="1" x14ac:dyDescent="0.25">
      <c r="A9" s="4" t="s">
        <v>230</v>
      </c>
      <c r="B9" s="4" t="s">
        <v>39</v>
      </c>
      <c r="C9" s="7"/>
    </row>
    <row r="10" spans="1:3" ht="23.85" customHeight="1" x14ac:dyDescent="0.25">
      <c r="A10" s="4" t="s">
        <v>149</v>
      </c>
      <c r="B10" s="4" t="s">
        <v>228</v>
      </c>
      <c r="C10" s="7"/>
    </row>
    <row r="11" spans="1:3" ht="23.85" customHeight="1" x14ac:dyDescent="0.25">
      <c r="A11" s="4" t="s">
        <v>151</v>
      </c>
      <c r="B11" s="4" t="s">
        <v>25</v>
      </c>
      <c r="C11" s="7"/>
    </row>
    <row r="12" spans="1:3" ht="23.85" customHeight="1" x14ac:dyDescent="0.25">
      <c r="A12" s="91" t="s">
        <v>235</v>
      </c>
      <c r="B12" s="91" t="s">
        <v>236</v>
      </c>
    </row>
    <row r="13" spans="1:3" ht="23.85" customHeight="1" x14ac:dyDescent="0.25">
      <c r="A13" s="91" t="s">
        <v>237</v>
      </c>
      <c r="B13" s="91" t="s">
        <v>238</v>
      </c>
    </row>
    <row r="14" spans="1:3" ht="23.85" customHeight="1" x14ac:dyDescent="0.25">
      <c r="A14" s="91" t="s">
        <v>246</v>
      </c>
      <c r="B14" s="91" t="s">
        <v>239</v>
      </c>
    </row>
    <row r="15" spans="1:3" ht="23.85" customHeight="1" x14ac:dyDescent="0.25">
      <c r="A15" s="91" t="s">
        <v>240</v>
      </c>
      <c r="B15" s="91" t="s">
        <v>242</v>
      </c>
    </row>
    <row r="16" spans="1:3" ht="23.85" customHeight="1" x14ac:dyDescent="0.25">
      <c r="A16" s="91" t="s">
        <v>243</v>
      </c>
      <c r="B16" s="91" t="s">
        <v>95</v>
      </c>
    </row>
    <row r="17" spans="1:1" ht="23.85" customHeight="1" x14ac:dyDescent="0.25">
      <c r="A17" s="91" t="s">
        <v>244</v>
      </c>
    </row>
    <row r="18" spans="1:1" ht="23.85" customHeight="1" x14ac:dyDescent="0.25">
      <c r="A18" s="91" t="s">
        <v>245</v>
      </c>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topLeftCell="A7" workbookViewId="0">
      <selection activeCell="M26" sqref="M26"/>
    </sheetView>
  </sheetViews>
  <sheetFormatPr defaultColWidth="9" defaultRowHeight="15.75" x14ac:dyDescent="0.25"/>
  <cols>
    <col min="1" max="16384" width="9" style="12"/>
  </cols>
  <sheetData>
    <row r="1" spans="1:1" x14ac:dyDescent="0.25">
      <c r="A1" s="12" t="s">
        <v>62</v>
      </c>
    </row>
  </sheetData>
  <phoneticPr fontId="1" type="noConversion"/>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5"/>
  <sheetViews>
    <sheetView topLeftCell="B1" zoomScale="172" zoomScaleNormal="172" workbookViewId="0">
      <selection activeCell="B6" sqref="B6"/>
    </sheetView>
  </sheetViews>
  <sheetFormatPr defaultColWidth="9" defaultRowHeight="15.75" x14ac:dyDescent="0.25"/>
  <cols>
    <col min="1" max="1" width="6.75" style="37" customWidth="1"/>
    <col min="2" max="2" width="113.625" style="12" customWidth="1"/>
    <col min="3" max="16384" width="9" style="12"/>
  </cols>
  <sheetData>
    <row r="1" spans="1:2" x14ac:dyDescent="0.25">
      <c r="A1" s="38" t="s">
        <v>73</v>
      </c>
      <c r="B1" s="38" t="s">
        <v>72</v>
      </c>
    </row>
    <row r="2" spans="1:2" x14ac:dyDescent="0.25">
      <c r="A2" s="38">
        <v>1</v>
      </c>
      <c r="B2" s="8" t="s">
        <v>208</v>
      </c>
    </row>
    <row r="3" spans="1:2" x14ac:dyDescent="0.25">
      <c r="A3" s="38">
        <v>2</v>
      </c>
      <c r="B3" s="8" t="s">
        <v>207</v>
      </c>
    </row>
    <row r="4" spans="1:2" ht="31.5" x14ac:dyDescent="0.25">
      <c r="A4" s="38">
        <v>3</v>
      </c>
      <c r="B4" s="36" t="s">
        <v>209</v>
      </c>
    </row>
    <row r="5" spans="1:2" ht="31.5" x14ac:dyDescent="0.25">
      <c r="A5" s="38">
        <v>4</v>
      </c>
      <c r="B5" s="1" t="s">
        <v>233</v>
      </c>
    </row>
    <row r="6" spans="1:2" ht="47.25" x14ac:dyDescent="0.25">
      <c r="A6" s="38">
        <v>7</v>
      </c>
      <c r="B6" s="1" t="s">
        <v>234</v>
      </c>
    </row>
    <row r="7" spans="1:2" x14ac:dyDescent="0.25">
      <c r="A7" s="38">
        <v>8</v>
      </c>
      <c r="B7" s="8" t="s">
        <v>212</v>
      </c>
    </row>
    <row r="8" spans="1:2" x14ac:dyDescent="0.25">
      <c r="A8" s="103">
        <v>9</v>
      </c>
      <c r="B8" s="8" t="s">
        <v>74</v>
      </c>
    </row>
    <row r="9" spans="1:2" x14ac:dyDescent="0.25">
      <c r="A9" s="103"/>
      <c r="B9" s="8" t="s">
        <v>210</v>
      </c>
    </row>
    <row r="10" spans="1:2" x14ac:dyDescent="0.25">
      <c r="A10" s="103"/>
      <c r="B10" s="8" t="s">
        <v>75</v>
      </c>
    </row>
    <row r="11" spans="1:2" x14ac:dyDescent="0.25">
      <c r="A11" s="103"/>
      <c r="B11" s="8" t="s">
        <v>76</v>
      </c>
    </row>
    <row r="12" spans="1:2" x14ac:dyDescent="0.25">
      <c r="A12" s="103"/>
      <c r="B12" s="8" t="s">
        <v>211</v>
      </c>
    </row>
    <row r="13" spans="1:2" x14ac:dyDescent="0.25">
      <c r="A13" s="103"/>
      <c r="B13" s="8" t="s">
        <v>77</v>
      </c>
    </row>
    <row r="14" spans="1:2" x14ac:dyDescent="0.25">
      <c r="A14" s="103"/>
      <c r="B14" s="8" t="s">
        <v>213</v>
      </c>
    </row>
    <row r="15" spans="1:2" x14ac:dyDescent="0.25">
      <c r="A15" s="103"/>
      <c r="B15" s="8" t="s">
        <v>214</v>
      </c>
    </row>
  </sheetData>
  <mergeCells count="1">
    <mergeCell ref="A8:A15"/>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具名範圍</vt:lpstr>
      </vt:variant>
      <vt:variant>
        <vt:i4>1</vt:i4>
      </vt:variant>
    </vt:vector>
  </HeadingPairs>
  <TitlesOfParts>
    <vt:vector size="10" baseType="lpstr">
      <vt:lpstr>工作人員分配(舊)</vt:lpstr>
      <vt:lpstr>流程表</vt:lpstr>
      <vt:lpstr>主持人講稿(已更新)</vt:lpstr>
      <vt:lpstr>小遊戲(已去除)</vt:lpstr>
      <vt:lpstr>預算明細表(20251104美如提供)</vt:lpstr>
      <vt:lpstr>活動場地layout</vt:lpstr>
      <vt:lpstr>分工表</vt:lpstr>
      <vt:lpstr>Buffet菜單</vt:lpstr>
      <vt:lpstr>1125會議紀錄</vt:lpstr>
      <vt:lpstr>'主持人講稿(已更新)'!Print_Titles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簡秀玲</dc:creator>
  <cp:lastModifiedBy>品捷 黃</cp:lastModifiedBy>
  <cp:lastPrinted>2024-12-24T07:02:09Z</cp:lastPrinted>
  <dcterms:created xsi:type="dcterms:W3CDTF">2023-10-30T03:23:13Z</dcterms:created>
  <dcterms:modified xsi:type="dcterms:W3CDTF">2025-12-14T08:26:14Z</dcterms:modified>
</cp:coreProperties>
</file>